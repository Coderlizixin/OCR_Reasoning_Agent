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2d4c66144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3339bdccf64f6b"/>
    <x:sheet xmlns:r="http://schemas.openxmlformats.org/officeDocument/2006/relationships" name="H1 Effects" sheetId="2" r:id="R3ae59b9bbc644b7e"/>
    <x:sheet xmlns:r="http://schemas.openxmlformats.org/officeDocument/2006/relationships" name="Categories" sheetId="3" r:id="R4d82b72cbfa343d7"/>
    <x:sheet xmlns:r="http://schemas.openxmlformats.org/officeDocument/2006/relationships" name="Per Item" sheetId="4" r:id="Rcf5a846e737a4ecb"/>
    <x:sheet xmlns:r="http://schemas.openxmlformats.org/officeDocument/2006/relationships" name="Sources" sheetId="5" r:id="R65428739d8904b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0.00%"/>
    <x:numFmt numFmtId="202" formatCode="0.00"/>
    <x:numFmt numFmtId="203" formatCode="0.000E+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7FA"/>
      </x:patternFill>
    </x:fill>
    <x:fill>
      <x:patternFill patternType="solid">
        <x:fgColor rgb="FF0F6B78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d18b027e14656" /><Relationship Type="http://schemas.openxmlformats.org/officeDocument/2006/relationships/theme" Target="/xl/theme/theme1.xml" Id="R5610f1377ae84953" /><Relationship Type="http://schemas.microsoft.com/office/2022/11/relationships/FeaturePropertyBag" Target="/xl/featurePropertyBag/featurePropertyBag.xml" Id="R2107384b8c564096" /><Relationship Type="http://schemas.openxmlformats.org/officeDocument/2006/relationships/sharedStrings" Target="/xl/sharedStrings.xml" Id="Ra092e7745a29435a" /><Relationship Type="http://schemas.openxmlformats.org/officeDocument/2006/relationships/worksheet" Target="/xl/worksheets/sheet1.xml" Id="Rfb3339bdccf64f6b" /><Relationship Type="http://schemas.openxmlformats.org/officeDocument/2006/relationships/worksheet" Target="/xl/worksheets/sheet2.xml" Id="R3ae59b9bbc644b7e" /><Relationship Type="http://schemas.openxmlformats.org/officeDocument/2006/relationships/worksheet" Target="/xl/worksheets/sheet3.xml" Id="R4d82b72cbfa343d7" /><Relationship Type="http://schemas.openxmlformats.org/officeDocument/2006/relationships/worksheet" Target="/xl/worksheets/sheet4.xml" Id="Rcf5a846e737a4ecb" /><Relationship Type="http://schemas.openxmlformats.org/officeDocument/2006/relationships/worksheet" Target="/xl/worksheets/sheet5.xml" Id="R65428739d8904b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rossModelSummaryTable" displayName="CrossModelSummaryTable" ref="A8:O16" headerRowCount="1" totalsRowCount="0" totalsRowShown="0">
  <x:tableColumns count="15">
    <x:tableColumn id="1" name="Condition"/>
    <x:tableColumn id="2" name="Qwen3.5-9B correct"/>
    <x:tableColumn id="3" name="Qwen3.5-9B total"/>
    <x:tableColumn id="4" name="Qwen3.5-9B accuracy"/>
    <x:tableColumn id="5" name="Qwen3.5-27B correct"/>
    <x:tableColumn id="6" name="Qwen3.5-27B total"/>
    <x:tableColumn id="7" name="Qwen3.5-27B accuracy"/>
    <x:tableColumn id="8" name="27B - 9B (pp)"/>
    <x:tableColumn id="9" name="95% CI low (pp)"/>
    <x:tableColumn id="10" name="95% CI high (pp)"/>
    <x:tableColumn id="11" name="Paired p"/>
    <x:tableColumn id="12" name="Qwen3.5-9B valid rate"/>
    <x:tableColumn id="13" name="Qwen3.5-27B valid rate"/>
    <x:tableColumn id="14" name="Qwen3.5-9B truncated"/>
    <x:tableColumn id="15" name="Qwen3.5-27B trunca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ossModelEffectsTable" displayName="CrossModelEffectsTable" ref="A1:N9" headerRowCount="1" totalsRowCount="0" totalsRowShown="0">
  <x:tableColumns count="14">
    <x:tableColumn id="1" name="Comparison"/>
    <x:tableColumn id="2" name="Treatment"/>
    <x:tableColumn id="3" name="Reference"/>
    <x:tableColumn id="4" name="9B delta (pp)"/>
    <x:tableColumn id="5" name="9B CI low"/>
    <x:tableColumn id="6" name="9B CI high"/>
    <x:tableColumn id="7" name="9B paired p"/>
    <x:tableColumn id="8" name="27B delta (pp)"/>
    <x:tableColumn id="9" name="27B CI low"/>
    <x:tableColumn id="10" name="27B CI high"/>
    <x:tableColumn id="11" name="27B paired p"/>
    <x:tableColumn id="12" name="Interaction (pp)"/>
    <x:tableColumn id="13" name="Interaction CI low"/>
    <x:tableColumn id="14" name="Interaction CI high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rossModelCategoriesTable" displayName="CrossModelCategoriesTable" ref="A1:G57" headerRowCount="1" totalsRowCount="0" totalsRowShown="0">
  <x:tableColumns count="7">
    <x:tableColumn id="1" name="Model"/>
    <x:tableColumn id="2" name="Condition"/>
    <x:tableColumn id="3" name="Category ID"/>
    <x:tableColumn id="4" name="Category"/>
    <x:tableColumn id="5" name="Correct"/>
    <x:tableColumn id="6" name="Total"/>
    <x:tableColumn id="7" name="Accurac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ossModelPerItemTable" displayName="CrossModelPerItemTable" ref="A1:AA42" headerRowCount="1" totalsRowCount="0" totalsRowShown="0">
  <x:tableColumns count="27">
    <x:tableColumn id="1" name="Index"/>
    <x:tableColumn id="2" name="Category ID"/>
    <x:tableColumn id="3" name="Category"/>
    <x:tableColumn id="4" name="Full Image 9B"/>
    <x:tableColumn id="5" name="Full Image 27B"/>
    <x:tableColumn id="6" name="Full Image delta"/>
    <x:tableColumn id="7" name="GT Mask-In 9B"/>
    <x:tableColumn id="8" name="GT Mask-In 27B"/>
    <x:tableColumn id="9" name="GT Mask-In delta"/>
    <x:tableColumn id="10" name="GT Mask-Out 9B"/>
    <x:tableColumn id="11" name="GT Mask-Out 27B"/>
    <x:tableColumn id="12" name="GT Mask-Out delta"/>
    <x:tableColumn id="13" name="Random Mask-In (seed 20260901) 9B"/>
    <x:tableColumn id="14" name="Random Mask-In (seed 20260901) 27B"/>
    <x:tableColumn id="15" name="Random Mask-In (seed 20260901) delta"/>
    <x:tableColumn id="16" name="Random Mask-In (seed 20260902) 9B"/>
    <x:tableColumn id="17" name="Random Mask-In (seed 20260902) 27B"/>
    <x:tableColumn id="18" name="Random Mask-In (seed 20260902) delta"/>
    <x:tableColumn id="19" name="Random Mask-In (seed 20260903) 9B"/>
    <x:tableColumn id="20" name="Random Mask-In (seed 20260903) 27B"/>
    <x:tableColumn id="21" name="Random Mask-In (seed 20260903) delta"/>
    <x:tableColumn id="22" name="GT ROI 9B"/>
    <x:tableColumn id="23" name="GT ROI 27B"/>
    <x:tableColumn id="24" name="GT ROI delta"/>
    <x:tableColumn id="25" name="Random Mask-In (3-seed mean) 9B"/>
    <x:tableColumn id="26" name="Random Mask-In (3-seed mean) 27B"/>
    <x:tableColumn id="27" name="Random Mask-In (3-seed mean) delta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5" name="CrossModelSourcesTable" displayName="CrossModelSourcesTable" ref="A1:G17" headerRowCount="1" totalsRowCount="0" totalsRowShown="0">
  <x:tableColumns count="7">
    <x:tableColumn id="1" name="Type"/>
    <x:tableColumn id="2" name="Model"/>
    <x:tableColumn id="3" name="Condition"/>
    <x:tableColumn id="4" name="Path"/>
    <x:tableColumn id="5" name="SHA-256"/>
    <x:tableColumn id="6" name="Files"/>
    <x:tableColumn id="7" name="Verified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a950cc8f2747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ae7919d68146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77869f5efb43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71bcd6010440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253ee7bb34b42ce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0" customHeight="1">
      <x:c r="A1" s="17" t="str">
        <x:v>CharXiv Evidence Conditions — 9B / 27B Paired Summary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>
      <x:c r="A2" s="6" t="str">
        <x:v>Same 41 questions; 12,288-token cap; length-truncated outputs count as incorrect. Cross-model uncertainty uses question-level paired bootstrap.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4" ht="32" customHeight="1">
      <x:c r="A4" s="12" t="str">
        <x:v>Field</x:v>
      </x:c>
      <x:c r="B4" s="12" t="str">
        <x:v>Value</x:v>
      </x:c>
      <x:c r="C4" s="12" t="str">
        <x:v>Field</x:v>
      </x:c>
      <x:c r="D4" s="12" t="str">
        <x:v>Value</x:v>
      </x:c>
    </x:row>
    <x:row r="5">
      <x:c r="A5" t="str">
        <x:v>Smaller model</x:v>
      </x:c>
      <x:c r="B5" t="str">
        <x:v>Qwen3.5-9B</x:v>
      </x:c>
      <x:c r="C5" t="str">
        <x:v>Larger model</x:v>
      </x:c>
      <x:c r="D5" t="str">
        <x:v>Qwen3.5-27B</x:v>
      </x:c>
    </x:row>
    <x:row r="6">
      <x:c r="A6" t="str">
        <x:v>Generated (UTC)</x:v>
      </x:c>
      <x:c r="B6" s="13" t="n">
        <x:v>46267.43583365741</x:v>
      </x:c>
      <x:c r="C6" t="str">
        <x:v>Frozen sources verified</x:v>
      </x:c>
      <x:c r="D6" s="7" t="b">
        <x:v>1</x:v>
      </x:c>
    </x:row>
    <x:row r="8" ht="32" customHeight="1">
      <x:c r="A8" s="12" t="str">
        <x:v>Condition</x:v>
      </x:c>
      <x:c r="B8" s="12" t="str">
        <x:v>Qwen3.5-9B correct</x:v>
      </x:c>
      <x:c r="C8" s="12" t="str">
        <x:v>Qwen3.5-9B total</x:v>
      </x:c>
      <x:c r="D8" s="12" t="str">
        <x:v>Qwen3.5-9B accuracy</x:v>
      </x:c>
      <x:c r="E8" s="12" t="str">
        <x:v>Qwen3.5-27B correct</x:v>
      </x:c>
      <x:c r="F8" s="12" t="str">
        <x:v>Qwen3.5-27B total</x:v>
      </x:c>
      <x:c r="G8" s="12" t="str">
        <x:v>Qwen3.5-27B accuracy</x:v>
      </x:c>
      <x:c r="H8" s="12" t="str">
        <x:v>27B - 9B (pp)</x:v>
      </x:c>
      <x:c r="I8" s="12" t="str">
        <x:v>95% CI low (pp)</x:v>
      </x:c>
      <x:c r="J8" s="12" t="str">
        <x:v>95% CI high (pp)</x:v>
      </x:c>
      <x:c r="K8" s="12" t="str">
        <x:v>Paired p</x:v>
      </x:c>
      <x:c r="L8" s="12" t="str">
        <x:v>Qwen3.5-9B valid rate</x:v>
      </x:c>
      <x:c r="M8" s="12" t="str">
        <x:v>Qwen3.5-27B valid rate</x:v>
      </x:c>
      <x:c r="N8" s="12" t="str">
        <x:v>Qwen3.5-9B truncated</x:v>
      </x:c>
      <x:c r="O8" s="12" t="str">
        <x:v>Qwen3.5-27B truncated</x:v>
      </x:c>
    </x:row>
    <x:row r="9">
      <x:c r="A9" t="str">
        <x:v>Full Image</x:v>
      </x:c>
      <x:c r="B9" t="n">
        <x:v>29</x:v>
      </x:c>
      <x:c r="C9" t="n">
        <x:v>41</x:v>
      </x:c>
      <x:c r="D9" s="14" t="n">
        <x:f>IFERROR(B9/C9,0)</x:f>
        <x:v>0.7073170731707317</x:v>
      </x:c>
      <x:c r="E9" t="n">
        <x:v>34</x:v>
      </x:c>
      <x:c r="F9" t="n">
        <x:v>41</x:v>
      </x:c>
      <x:c r="G9" s="14" t="n">
        <x:f>IFERROR(E9/F9,0)</x:f>
        <x:v>0.8292682926829268</x:v>
      </x:c>
      <x:c r="H9" s="15" t="n">
        <x:f>(G9-D9)*100</x:f>
        <x:v>12.195121951219512</x:v>
      </x:c>
      <x:c r="I9" s="15" t="n">
        <x:v>0</x:v>
      </x:c>
      <x:c r="J9" s="15" t="n">
        <x:v>24.390243902439025</x:v>
      </x:c>
      <x:c r="K9" s="16" t="n">
        <x:v>0.125</x:v>
      </x:c>
      <x:c r="L9" s="14" t="n">
        <x:v>0.8292682926829268</x:v>
      </x:c>
      <x:c r="M9" s="14" t="n">
        <x:v>0.9024390243902439</x:v>
      </x:c>
      <x:c r="N9" t="n">
        <x:v>7</x:v>
      </x:c>
      <x:c r="O9" t="n">
        <x:v>4</x:v>
      </x:c>
    </x:row>
    <x:row r="10">
      <x:c r="A10" t="str">
        <x:v>GT Mask-In</x:v>
      </x:c>
      <x:c r="B10" t="n">
        <x:v>29</x:v>
      </x:c>
      <x:c r="C10" t="n">
        <x:v>41</x:v>
      </x:c>
      <x:c r="D10" s="14" t="n">
        <x:f>IFERROR(B10/C10,0)</x:f>
        <x:v>0.7073170731707317</x:v>
      </x:c>
      <x:c r="E10" t="n">
        <x:v>34</x:v>
      </x:c>
      <x:c r="F10" t="n">
        <x:v>41</x:v>
      </x:c>
      <x:c r="G10" s="14" t="n">
        <x:f>IFERROR(E10/F10,0)</x:f>
        <x:v>0.8292682926829268</x:v>
      </x:c>
      <x:c r="H10" s="15" t="n">
        <x:f>(G10-D10)*100</x:f>
        <x:v>12.195121951219512</x:v>
      </x:c>
      <x:c r="I10" s="15" t="n">
        <x:v>2.4390243902439024</x:v>
      </x:c>
      <x:c r="J10" s="15" t="n">
        <x:v>21.951219512195124</x:v>
      </x:c>
      <x:c r="K10" s="16" t="n">
        <x:v>0.0625</x:v>
      </x:c>
      <x:c r="L10" s="14" t="n">
        <x:v>0.8048780487804879</x:v>
      </x:c>
      <x:c r="M10" s="14" t="n">
        <x:v>0.8780487804878049</x:v>
      </x:c>
      <x:c r="N10" t="n">
        <x:v>8</x:v>
      </x:c>
      <x:c r="O10" t="n">
        <x:v>5</x:v>
      </x:c>
    </x:row>
    <x:row r="11">
      <x:c r="A11" t="str">
        <x:v>GT Mask-Out</x:v>
      </x:c>
      <x:c r="B11" t="n">
        <x:v>11</x:v>
      </x:c>
      <x:c r="C11" t="n">
        <x:v>41</x:v>
      </x:c>
      <x:c r="D11" s="14" t="n">
        <x:f>IFERROR(B11/C11,0)</x:f>
        <x:v>0.2682926829268293</x:v>
      </x:c>
      <x:c r="E11" t="n">
        <x:v>15</x:v>
      </x:c>
      <x:c r="F11" t="n">
        <x:v>41</x:v>
      </x:c>
      <x:c r="G11" s="14" t="n">
        <x:f>IFERROR(E11/F11,0)</x:f>
        <x:v>0.36585365853658536</x:v>
      </x:c>
      <x:c r="H11" s="15" t="n">
        <x:f>(G11-D11)*100</x:f>
        <x:v>9.756097560975608</x:v>
      </x:c>
      <x:c r="I11" s="15" t="n">
        <x:v>-7.317073170731707</x:v>
      </x:c>
      <x:c r="J11" s="15" t="n">
        <x:v>26.82926829268293</x:v>
      </x:c>
      <x:c r="K11" s="16" t="n">
        <x:v>0.3876953125</x:v>
      </x:c>
      <x:c r="L11" s="14" t="n">
        <x:v>0.5609756097560976</x:v>
      </x:c>
      <x:c r="M11" s="14" t="n">
        <x:v>0.5365853658536586</x:v>
      </x:c>
      <x:c r="N11" t="n">
        <x:v>18</x:v>
      </x:c>
      <x:c r="O11" t="n">
        <x:v>19</x:v>
      </x:c>
    </x:row>
    <x:row r="12">
      <x:c r="A12" t="str">
        <x:v>Random Mask-In (seed 20260901)</x:v>
      </x:c>
      <x:c r="B12" t="n">
        <x:v>5</x:v>
      </x:c>
      <x:c r="C12" t="n">
        <x:v>41</x:v>
      </x:c>
      <x:c r="D12" s="14" t="n">
        <x:f>IFERROR(B12/C12,0)</x:f>
        <x:v>0.12195121951219512</x:v>
      </x:c>
      <x:c r="E12" t="n">
        <x:v>8</x:v>
      </x:c>
      <x:c r="F12" t="n">
        <x:v>41</x:v>
      </x:c>
      <x:c r="G12" s="14" t="n">
        <x:f>IFERROR(E12/F12,0)</x:f>
        <x:v>0.1951219512195122</x:v>
      </x:c>
      <x:c r="H12" s="15" t="n">
        <x:f>(G12-D12)*100</x:f>
        <x:v>7.3170731707317085</x:v>
      </x:c>
      <x:c r="I12" s="15" t="n">
        <x:v>-2.4390243902439024</x:v>
      </x:c>
      <x:c r="J12" s="15" t="n">
        <x:v>17.073170731707318</x:v>
      </x:c>
      <x:c r="K12" s="16" t="n">
        <x:v>0.375</x:v>
      </x:c>
      <x:c r="L12" s="14" t="n">
        <x:v>0.5609756097560976</x:v>
      </x:c>
      <x:c r="M12" s="14" t="n">
        <x:v>0.5853658536585366</x:v>
      </x:c>
      <x:c r="N12" t="n">
        <x:v>18</x:v>
      </x:c>
      <x:c r="O12" t="n">
        <x:v>17</x:v>
      </x:c>
    </x:row>
    <x:row r="13">
      <x:c r="A13" t="str">
        <x:v>Random Mask-In (seed 20260902)</x:v>
      </x:c>
      <x:c r="B13" t="n">
        <x:v>1</x:v>
      </x:c>
      <x:c r="C13" t="n">
        <x:v>41</x:v>
      </x:c>
      <x:c r="D13" s="14" t="n">
        <x:f>IFERROR(B13/C13,0)</x:f>
        <x:v>0.024390243902439025</x:v>
      </x:c>
      <x:c r="E13" t="n">
        <x:v>1</x:v>
      </x:c>
      <x:c r="F13" t="n">
        <x:v>41</x:v>
      </x:c>
      <x:c r="G13" s="14" t="n">
        <x:f>IFERROR(E13/F13,0)</x:f>
        <x:v>0.024390243902439025</x:v>
      </x:c>
      <x:c r="H13" s="15" t="n">
        <x:f>(G13-D13)*100</x:f>
        <x:v>0</x:v>
      </x:c>
      <x:c r="I13" s="15" t="n">
        <x:v>-7.317073170731707</x:v>
      </x:c>
      <x:c r="J13" s="15" t="n">
        <x:v>7.317073170731707</x:v>
      </x:c>
      <x:c r="K13" s="16" t="n">
        <x:v>1</x:v>
      </x:c>
      <x:c r="L13" s="14" t="n">
        <x:v>0.6829268292682927</x:v>
      </x:c>
      <x:c r="M13" s="14" t="n">
        <x:v>0.5609756097560976</x:v>
      </x:c>
      <x:c r="N13" t="n">
        <x:v>13</x:v>
      </x:c>
      <x:c r="O13" t="n">
        <x:v>18</x:v>
      </x:c>
    </x:row>
    <x:row r="14">
      <x:c r="A14" t="str">
        <x:v>Random Mask-In (seed 20260903)</x:v>
      </x:c>
      <x:c r="B14" t="n">
        <x:v>1</x:v>
      </x:c>
      <x:c r="C14" t="n">
        <x:v>41</x:v>
      </x:c>
      <x:c r="D14" s="14" t="n">
        <x:f>IFERROR(B14/C14,0)</x:f>
        <x:v>0.024390243902439025</x:v>
      </x:c>
      <x:c r="E14" t="n">
        <x:v>5</x:v>
      </x:c>
      <x:c r="F14" t="n">
        <x:v>41</x:v>
      </x:c>
      <x:c r="G14" s="14" t="n">
        <x:f>IFERROR(E14/F14,0)</x:f>
        <x:v>0.12195121951219512</x:v>
      </x:c>
      <x:c r="H14" s="15" t="n">
        <x:f>(G14-D14)*100</x:f>
        <x:v>9.75609756097561</x:v>
      </x:c>
      <x:c r="I14" s="15" t="n">
        <x:v>0</x:v>
      </x:c>
      <x:c r="J14" s="15" t="n">
        <x:v>21.951219512195124</x:v>
      </x:c>
      <x:c r="K14" s="16" t="n">
        <x:v>0.21875</x:v>
      </x:c>
      <x:c r="L14" s="14" t="n">
        <x:v>0.6097560975609756</x:v>
      </x:c>
      <x:c r="M14" s="14" t="n">
        <x:v>0.6097560975609756</x:v>
      </x:c>
      <x:c r="N14" t="n">
        <x:v>16</x:v>
      </x:c>
      <x:c r="O14" t="n">
        <x:v>16</x:v>
      </x:c>
    </x:row>
    <x:row r="15">
      <x:c r="A15" t="str">
        <x:v>GT ROI</x:v>
      </x:c>
      <x:c r="B15" t="n">
        <x:v>25</x:v>
      </x:c>
      <x:c r="C15" t="n">
        <x:v>41</x:v>
      </x:c>
      <x:c r="D15" s="14" t="n">
        <x:f>IFERROR(B15/C15,0)</x:f>
        <x:v>0.6097560975609756</x:v>
      </x:c>
      <x:c r="E15" t="n">
        <x:v>31</x:v>
      </x:c>
      <x:c r="F15" t="n">
        <x:v>41</x:v>
      </x:c>
      <x:c r="G15" s="14" t="n">
        <x:f>IFERROR(E15/F15,0)</x:f>
        <x:v>0.7560975609756098</x:v>
      </x:c>
      <x:c r="H15" s="15" t="n">
        <x:f>(G15-D15)*100</x:f>
        <x:v>14.634146341463417</x:v>
      </x:c>
      <x:c r="I15" s="15" t="n">
        <x:v>4.878048780487805</x:v>
      </x:c>
      <x:c r="J15" s="15" t="n">
        <x:v>26.82926829268293</x:v>
      </x:c>
      <x:c r="K15" s="16" t="n">
        <x:v>0.03125</x:v>
      </x:c>
      <x:c r="L15" s="14" t="n">
        <x:v>0.7073170731707317</x:v>
      </x:c>
      <x:c r="M15" s="14" t="n">
        <x:v>0.8048780487804879</x:v>
      </x:c>
      <x:c r="N15" t="n">
        <x:v>12</x:v>
      </x:c>
      <x:c r="O15" t="n">
        <x:v>8</x:v>
      </x:c>
    </x:row>
    <x:row r="16">
      <x:c r="A16" t="str">
        <x:v>Random Mask-In (3-seed mean)</x:v>
      </x:c>
      <x:c r="B16" t="n">
        <x:v>2.3333333333333335</x:v>
      </x:c>
      <x:c r="C16" t="n">
        <x:v>41</x:v>
      </x:c>
      <x:c r="D16" s="14" t="n">
        <x:f>IFERROR(B16/C16,0)</x:f>
        <x:v>0.05691056910569106</x:v>
      </x:c>
      <x:c r="E16" t="n">
        <x:v>4.666666666666667</x:v>
      </x:c>
      <x:c r="F16" t="n">
        <x:v>41</x:v>
      </x:c>
      <x:c r="G16" s="14" t="n">
        <x:f>IFERROR(E16/F16,0)</x:f>
        <x:v>0.11382113821138212</x:v>
      </x:c>
      <x:c r="H16" s="15" t="n">
        <x:f>(G16-D16)*100</x:f>
        <x:v>5.691056910569106</x:v>
      </x:c>
      <x:c r="I16" s="15" t="n">
        <x:v>-0.8130081297560974</x:v>
      </x:c>
      <x:c r="J16" s="15" t="n">
        <x:v>13.008130081951219</x:v>
      </x:c>
      <x:c r="K16" s="16"/>
      <x:c r="L16" s="14" t="n">
        <x:v>0.6178861788617888</x:v>
      </x:c>
      <x:c r="M16" s="14" t="n">
        <x:v>0.5853658536585367</x:v>
      </x:c>
      <x:c r="N16" t="n">
        <x:v>15.666666666666666</x:v>
      </x:c>
      <x:c r="O16" t="n">
        <x:v>17</x:v>
      </x:c>
    </x:row>
  </x:sheetData>
  <x:mergeCells>
    <x:mergeCell ref="A1:O1"/>
    <x:mergeCell ref="A2:O2"/>
  </x:mergeCells>
  <x:conditionalFormatting sqref="H9:H1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ba950cc8f27472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2" customHeight="1">
      <x:c r="A1" s="12" t="str">
        <x:v>Comparison</x:v>
      </x:c>
      <x:c r="B1" s="12" t="str">
        <x:v>Treatment</x:v>
      </x:c>
      <x:c r="C1" s="12" t="str">
        <x:v>Reference</x:v>
      </x:c>
      <x:c r="D1" s="12" t="str">
        <x:v>9B delta (pp)</x:v>
      </x:c>
      <x:c r="E1" s="12" t="str">
        <x:v>9B CI low</x:v>
      </x:c>
      <x:c r="F1" s="12" t="str">
        <x:v>9B CI high</x:v>
      </x:c>
      <x:c r="G1" s="12" t="str">
        <x:v>9B paired p</x:v>
      </x:c>
      <x:c r="H1" s="12" t="str">
        <x:v>27B delta (pp)</x:v>
      </x:c>
      <x:c r="I1" s="12" t="str">
        <x:v>27B CI low</x:v>
      </x:c>
      <x:c r="J1" s="12" t="str">
        <x:v>27B CI high</x:v>
      </x:c>
      <x:c r="K1" s="12" t="str">
        <x:v>27B paired p</x:v>
      </x:c>
      <x:c r="L1" s="12" t="str">
        <x:v>Interaction (pp)</x:v>
      </x:c>
      <x:c r="M1" s="12" t="str">
        <x:v>Interaction CI low</x:v>
      </x:c>
      <x:c r="N1" s="12" t="str">
        <x:v>Interaction CI high</x:v>
      </x:c>
    </x:row>
    <x:row r="2">
      <x:c r="A2" t="str">
        <x:v>gt_in_minus_full</x:v>
      </x:c>
      <x:c r="B2" t="str">
        <x:v>gt_mask_in</x:v>
      </x:c>
      <x:c r="C2" t="str">
        <x:v>full_image</x:v>
      </x:c>
      <x:c r="D2" s="15" t="n">
        <x:v>0</x:v>
      </x:c>
      <x:c r="E2" s="15" t="n">
        <x:v>-17.073170731707318</x:v>
      </x:c>
      <x:c r="F2" s="15" t="n">
        <x:v>17.073170731707318</x:v>
      </x:c>
      <x:c r="G2" s="16" t="n">
        <x:v>1</x:v>
      </x:c>
      <x:c r="H2" s="15" t="n">
        <x:v>0</x:v>
      </x:c>
      <x:c r="I2" s="15" t="n">
        <x:v>-12.195121951219512</x:v>
      </x:c>
      <x:c r="J2" s="15" t="n">
        <x:v>12.195121951219512</x:v>
      </x:c>
      <x:c r="K2" s="16" t="n">
        <x:v>1</x:v>
      </x:c>
      <x:c r="L2" s="15" t="n">
        <x:f>H2-D2</x:f>
        <x:v>0</x:v>
      </x:c>
      <x:c r="M2" s="15" t="n">
        <x:v>-17.073170731707318</x:v>
      </x:c>
      <x:c r="N2" s="15" t="n">
        <x:v>17.073170731707318</x:v>
      </x:c>
    </x:row>
    <x:row r="3">
      <x:c r="A3" t="str">
        <x:v>full_minus_gt_out</x:v>
      </x:c>
      <x:c r="B3" t="str">
        <x:v>full_image</x:v>
      </x:c>
      <x:c r="C3" t="str">
        <x:v>gt_mask_out</x:v>
      </x:c>
      <x:c r="D3" s="15" t="n">
        <x:v>43.90243902439025</x:v>
      </x:c>
      <x:c r="E3" s="15" t="n">
        <x:v>24.390243902439025</x:v>
      </x:c>
      <x:c r="F3" s="15" t="n">
        <x:v>63.41463414634146</x:v>
      </x:c>
      <x:c r="G3" s="16" t="n">
        <x:v>0.0002771615982055664</x:v>
      </x:c>
      <x:c r="H3" s="15" t="n">
        <x:v>46.34146341463415</x:v>
      </x:c>
      <x:c r="I3" s="15" t="n">
        <x:v>31.70731707317073</x:v>
      </x:c>
      <x:c r="J3" s="15" t="n">
        <x:v>60.97560975609756</x:v>
      </x:c>
      <x:c r="K3" s="16" t="n">
        <x:v>0.000003814697265625</x:v>
      </x:c>
      <x:c r="L3" s="15" t="n">
        <x:f>H3-D3</x:f>
        <x:v>2.439024390243901</x:v>
      </x:c>
      <x:c r="M3" s="15" t="n">
        <x:v>-14.634146341463413</x:v>
      </x:c>
      <x:c r="N3" s="15" t="n">
        <x:v>21.951219512195124</x:v>
      </x:c>
    </x:row>
    <x:row r="4">
      <x:c r="A4" t="str">
        <x:v>gt_roi_minus_gt_in</x:v>
      </x:c>
      <x:c r="B4" t="str">
        <x:v>gt_roi</x:v>
      </x:c>
      <x:c r="C4" t="str">
        <x:v>gt_mask_in</x:v>
      </x:c>
      <x:c r="D4" s="15" t="n">
        <x:v>-9.75609756097561</x:v>
      </x:c>
      <x:c r="E4" s="15" t="n">
        <x:v>-24.390243902439025</x:v>
      </x:c>
      <x:c r="F4" s="15" t="n">
        <x:v>2.4390243902439024</x:v>
      </x:c>
      <x:c r="G4" s="16" t="n">
        <x:v>0.2890625</x:v>
      </x:c>
      <x:c r="H4" s="15" t="n">
        <x:v>-7.317073170731707</x:v>
      </x:c>
      <x:c r="I4" s="15" t="n">
        <x:v>-17.073170731707318</x:v>
      </x:c>
      <x:c r="J4" s="15" t="n">
        <x:v>0</x:v>
      </x:c>
      <x:c r="K4" s="16" t="n">
        <x:v>0.25</x:v>
      </x:c>
      <x:c r="L4" s="15" t="n">
        <x:f>H4-D4</x:f>
        <x:v>2.439024390243903</x:v>
      </x:c>
      <x:c r="M4" s="15" t="n">
        <x:v>-9.75609756097561</x:v>
      </x:c>
      <x:c r="N4" s="15" t="n">
        <x:v>14.634146341463413</x:v>
      </x:c>
    </x:row>
    <x:row r="5">
      <x:c r="A5" t="str">
        <x:v>gt_in_minus_random_mask_in_1</x:v>
      </x:c>
      <x:c r="B5" t="str">
        <x:v>gt_mask_in</x:v>
      </x:c>
      <x:c r="C5" t="str">
        <x:v>random_mask_in_1</x:v>
      </x:c>
      <x:c r="D5" s="15" t="n">
        <x:v>58.536585365853654</x:v>
      </x:c>
      <x:c r="E5" s="15" t="n">
        <x:v>41.46341463414634</x:v>
      </x:c>
      <x:c r="F5" s="15" t="n">
        <x:v>75.60975609756098</x:v>
      </x:c>
      <x:c r="G5" s="16" t="n">
        <x:v>8.046627044677734e-7</x:v>
      </x:c>
      <x:c r="H5" s="15" t="n">
        <x:v>63.41463414634146</x:v>
      </x:c>
      <x:c r="I5" s="15" t="n">
        <x:v>46.34146341463415</x:v>
      </x:c>
      <x:c r="J5" s="15" t="n">
        <x:v>78.04878048780488</x:v>
      </x:c>
      <x:c r="K5" s="16" t="n">
        <x:v>2.1606683731079102e-7</x:v>
      </x:c>
      <x:c r="L5" s="15" t="n">
        <x:f>H5-D5</x:f>
        <x:v>4.878048780487809</x:v>
      </x:c>
      <x:c r="M5" s="15" t="n">
        <x:v>-7.317073170731707</x:v>
      </x:c>
      <x:c r="N5" s="15" t="n">
        <x:v>19.51219512195122</x:v>
      </x:c>
    </x:row>
    <x:row r="6">
      <x:c r="A6" t="str">
        <x:v>gt_in_minus_random_mask_in_2</x:v>
      </x:c>
      <x:c r="B6" t="str">
        <x:v>gt_mask_in</x:v>
      </x:c>
      <x:c r="C6" t="str">
        <x:v>random_mask_in_2</x:v>
      </x:c>
      <x:c r="D6" s="15" t="n">
        <x:v>68.29268292682927</x:v>
      </x:c>
      <x:c r="E6" s="15" t="n">
        <x:v>53.65853658536586</x:v>
      </x:c>
      <x:c r="F6" s="15" t="n">
        <x:v>82.92682926829268</x:v>
      </x:c>
      <x:c r="G6" s="16" t="n">
        <x:v>7.450580596923828e-9</x:v>
      </x:c>
      <x:c r="H6" s="15" t="n">
        <x:v>80.48780487804879</x:v>
      </x:c>
      <x:c r="I6" s="15" t="n">
        <x:v>68.29268292682927</x:v>
      </x:c>
      <x:c r="J6" s="15" t="n">
        <x:v>92.6829268292683</x:v>
      </x:c>
      <x:c r="K6" s="16" t="n">
        <x:v>2.3283064365386963e-10</x:v>
      </x:c>
      <x:c r="L6" s="15" t="n">
        <x:f>H6-D6</x:f>
        <x:v>12.19512195121952</x:v>
      </x:c>
      <x:c r="M6" s="15" t="n">
        <x:v>0</x:v>
      </x:c>
      <x:c r="N6" s="15" t="n">
        <x:v>24.390243902439025</x:v>
      </x:c>
    </x:row>
    <x:row r="7">
      <x:c r="A7" t="str">
        <x:v>gt_in_minus_random_mask_in_3</x:v>
      </x:c>
      <x:c r="B7" t="str">
        <x:v>gt_mask_in</x:v>
      </x:c>
      <x:c r="C7" t="str">
        <x:v>random_mask_in_3</x:v>
      </x:c>
      <x:c r="D7" s="15" t="n">
        <x:v>68.29268292682927</x:v>
      </x:c>
      <x:c r="E7" s="15" t="n">
        <x:v>53.65853658536586</x:v>
      </x:c>
      <x:c r="F7" s="15" t="n">
        <x:v>82.92682926829268</x:v>
      </x:c>
      <x:c r="G7" s="16" t="n">
        <x:v>7.450580596923828e-9</x:v>
      </x:c>
      <x:c r="H7" s="15" t="n">
        <x:v>70.73170731707317</x:v>
      </x:c>
      <x:c r="I7" s="15" t="n">
        <x:v>53.65853658536586</x:v>
      </x:c>
      <x:c r="J7" s="15" t="n">
        <x:v>85.36585365853658</x:v>
      </x:c>
      <x:c r="K7" s="16" t="n">
        <x:v>2.9802322387695312e-8</x:v>
      </x:c>
      <x:c r="L7" s="15" t="n">
        <x:f>H7-D7</x:f>
        <x:v>2.439024390243901</x:v>
      </x:c>
      <x:c r="M7" s="15" t="n">
        <x:v>-12.195121951219512</x:v>
      </x:c>
      <x:c r="N7" s="15" t="n">
        <x:v>17.073170731707318</x:v>
      </x:c>
    </x:row>
    <x:row r="8">
      <x:c r="A8" t="str">
        <x:v>gt_in_minus_random_mean</x:v>
      </x:c>
      <x:c r="B8" t="str">
        <x:v>gt_mask_in</x:v>
      </x:c>
      <x:c r="C8" t="str">
        <x:v>random_mask_in_mean</x:v>
      </x:c>
      <x:c r="D8" s="15" t="n">
        <x:v>65.04065040650407</x:v>
      </x:c>
      <x:c r="E8" s="15" t="n">
        <x:v>51.21951219512195</x:v>
      </x:c>
      <x:c r="F8" s="15" t="n">
        <x:v>78.86178861788616</x:v>
      </x:c>
      <x:c r="G8" s="16"/>
      <x:c r="H8" s="15" t="n">
        <x:v>71.54471544715447</x:v>
      </x:c>
      <x:c r="I8" s="15" t="n">
        <x:v>57.72357723577236</x:v>
      </x:c>
      <x:c r="J8" s="15" t="n">
        <x:v>84.55284552845528</x:v>
      </x:c>
      <x:c r="K8" s="16"/>
      <x:c r="L8" s="15" t="n">
        <x:f>H8-D8</x:f>
        <x:v>6.504065040650403</x:v>
      </x:c>
      <x:c r="M8" s="15" t="n">
        <x:v>-4.8780487807317074</x:v>
      </x:c>
      <x:c r="N8" s="15" t="n">
        <x:v>17.886178861951223</x:v>
      </x:c>
    </x:row>
    <x:row r="9">
      <x:c r="A9" t="str">
        <x:v>gt_out_minus_random_mean</x:v>
      </x:c>
      <x:c r="B9" t="str">
        <x:v>gt_mask_out</x:v>
      </x:c>
      <x:c r="C9" t="str">
        <x:v>random_mask_in_mean</x:v>
      </x:c>
      <x:c r="D9" s="15" t="n">
        <x:v>21.138211382113823</x:v>
      </x:c>
      <x:c r="E9" s="15" t="n">
        <x:v>8.130081300813009</x:v>
      </x:c>
      <x:c r="F9" s="15" t="n">
        <x:v>34.959349593495936</x:v>
      </x:c>
      <x:c r="G9" s="16"/>
      <x:c r="H9" s="15" t="n">
        <x:v>25.20325203252033</x:v>
      </x:c>
      <x:c r="I9" s="15" t="n">
        <x:v>10.569105691056912</x:v>
      </x:c>
      <x:c r="J9" s="15" t="n">
        <x:v>40.650406504065046</x:v>
      </x:c>
      <x:c r="K9" s="16"/>
      <x:c r="L9" s="15" t="n">
        <x:f>H9-D9</x:f>
        <x:v>4.065040650406505</x:v>
      </x:c>
      <x:c r="M9" s="15" t="n">
        <x:v>-14.634146342439024</x:v>
      </x:c>
      <x:c r="N9" s="15" t="n">
        <x:v>21.95121951170732</x:v>
      </x:c>
    </x:row>
  </x:sheetData>
  <x:conditionalFormatting sqref="L2:L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0ae7919d681465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1" hidden="0" customWidth="1"/>
    <x:col min="3" max="3" width="13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2" customHeight="1">
      <x:c r="A1" s="12" t="str">
        <x:v>Model</x:v>
      </x:c>
      <x:c r="B1" s="12" t="str">
        <x:v>Condition</x:v>
      </x:c>
      <x:c r="C1" s="12" t="str">
        <x:v>Category ID</x:v>
      </x:c>
      <x:c r="D1" s="12" t="str">
        <x:v>Category</x:v>
      </x:c>
      <x:c r="E1" s="12" t="str">
        <x:v>Correct</x:v>
      </x:c>
      <x:c r="F1" s="12" t="str">
        <x:v>Total</x:v>
      </x:c>
      <x:c r="G1" s="12" t="str">
        <x:v>Accuracy</x:v>
      </x:c>
    </x:row>
    <x:row r="2">
      <x:c r="A2" t="str">
        <x:v>Qwen3.5-9B</x:v>
      </x:c>
      <x:c r="B2" t="str">
        <x:v>Full Image</x:v>
      </x:c>
      <x:c r="C2" t="n">
        <x:v>1</x:v>
      </x:c>
      <x:c r="D2" t="str">
        <x:v>Text-in-Chart</x:v>
      </x:c>
      <x:c r="E2" t="n">
        <x:v>12</x:v>
      </x:c>
      <x:c r="F2" t="n">
        <x:v>16</x:v>
      </x:c>
      <x:c r="G2" s="14" t="n">
        <x:v>0.75</x:v>
      </x:c>
    </x:row>
    <x:row r="3">
      <x:c r="A3" t="str">
        <x:v>Qwen3.5-9B</x:v>
      </x:c>
      <x:c r="B3" t="str">
        <x:v>Full Image</x:v>
      </x:c>
      <x:c r="C3" t="n">
        <x:v>2</x:v>
      </x:c>
      <x:c r="D3" t="str">
        <x:v>Text-in-General</x:v>
      </x:c>
      <x:c r="E3" t="n">
        <x:v>5</x:v>
      </x:c>
      <x:c r="F3" t="n">
        <x:v>9</x:v>
      </x:c>
      <x:c r="G3" s="14" t="n">
        <x:v>0.5555555555555556</x:v>
      </x:c>
    </x:row>
    <x:row r="4">
      <x:c r="A4" t="str">
        <x:v>Qwen3.5-9B</x:v>
      </x:c>
      <x:c r="B4" t="str">
        <x:v>Full Image</x:v>
      </x:c>
      <x:c r="C4" t="n">
        <x:v>3</x:v>
      </x:c>
      <x:c r="D4" t="str">
        <x:v>Number-in-Chart</x:v>
      </x:c>
      <x:c r="E4" t="n">
        <x:v>9</x:v>
      </x:c>
      <x:c r="F4" t="n">
        <x:v>11</x:v>
      </x:c>
      <x:c r="G4" s="14" t="n">
        <x:v>0.8181818181818182</x:v>
      </x:c>
    </x:row>
    <x:row r="5">
      <x:c r="A5" t="str">
        <x:v>Qwen3.5-9B</x:v>
      </x:c>
      <x:c r="B5" t="str">
        <x:v>Full Image</x:v>
      </x:c>
      <x:c r="C5" t="n">
        <x:v>4</x:v>
      </x:c>
      <x:c r="D5" t="str">
        <x:v>Number-in-General</x:v>
      </x:c>
      <x:c r="E5" t="n">
        <x:v>3</x:v>
      </x:c>
      <x:c r="F5" t="n">
        <x:v>5</x:v>
      </x:c>
      <x:c r="G5" s="14" t="n">
        <x:v>0.6</x:v>
      </x:c>
    </x:row>
    <x:row r="6">
      <x:c r="A6" t="str">
        <x:v>Qwen3.5-9B</x:v>
      </x:c>
      <x:c r="B6" t="str">
        <x:v>GT Mask-In</x:v>
      </x:c>
      <x:c r="C6" t="n">
        <x:v>1</x:v>
      </x:c>
      <x:c r="D6" t="str">
        <x:v>Text-in-Chart</x:v>
      </x:c>
      <x:c r="E6" t="n">
        <x:v>14</x:v>
      </x:c>
      <x:c r="F6" t="n">
        <x:v>16</x:v>
      </x:c>
      <x:c r="G6" s="14" t="n">
        <x:v>0.875</x:v>
      </x:c>
    </x:row>
    <x:row r="7">
      <x:c r="A7" t="str">
        <x:v>Qwen3.5-9B</x:v>
      </x:c>
      <x:c r="B7" t="str">
        <x:v>GT Mask-In</x:v>
      </x:c>
      <x:c r="C7" t="n">
        <x:v>2</x:v>
      </x:c>
      <x:c r="D7" t="str">
        <x:v>Text-in-General</x:v>
      </x:c>
      <x:c r="E7" t="n">
        <x:v>6</x:v>
      </x:c>
      <x:c r="F7" t="n">
        <x:v>9</x:v>
      </x:c>
      <x:c r="G7" s="14" t="n">
        <x:v>0.6666666666666666</x:v>
      </x:c>
    </x:row>
    <x:row r="8">
      <x:c r="A8" t="str">
        <x:v>Qwen3.5-9B</x:v>
      </x:c>
      <x:c r="B8" t="str">
        <x:v>GT Mask-In</x:v>
      </x:c>
      <x:c r="C8" t="n">
        <x:v>3</x:v>
      </x:c>
      <x:c r="D8" t="str">
        <x:v>Number-in-Chart</x:v>
      </x:c>
      <x:c r="E8" t="n">
        <x:v>6</x:v>
      </x:c>
      <x:c r="F8" t="n">
        <x:v>11</x:v>
      </x:c>
      <x:c r="G8" s="14" t="n">
        <x:v>0.5454545454545454</x:v>
      </x:c>
    </x:row>
    <x:row r="9">
      <x:c r="A9" t="str">
        <x:v>Qwen3.5-9B</x:v>
      </x:c>
      <x:c r="B9" t="str">
        <x:v>GT Mask-In</x:v>
      </x:c>
      <x:c r="C9" t="n">
        <x:v>4</x:v>
      </x:c>
      <x:c r="D9" t="str">
        <x:v>Number-in-General</x:v>
      </x:c>
      <x:c r="E9" t="n">
        <x:v>3</x:v>
      </x:c>
      <x:c r="F9" t="n">
        <x:v>5</x:v>
      </x:c>
      <x:c r="G9" s="14" t="n">
        <x:v>0.6</x:v>
      </x:c>
    </x:row>
    <x:row r="10">
      <x:c r="A10" t="str">
        <x:v>Qwen3.5-9B</x:v>
      </x:c>
      <x:c r="B10" t="str">
        <x:v>GT Mask-Out</x:v>
      </x:c>
      <x:c r="C10" t="n">
        <x:v>1</x:v>
      </x:c>
      <x:c r="D10" t="str">
        <x:v>Text-in-Chart</x:v>
      </x:c>
      <x:c r="E10" t="n">
        <x:v>3</x:v>
      </x:c>
      <x:c r="F10" t="n">
        <x:v>16</x:v>
      </x:c>
      <x:c r="G10" s="14" t="n">
        <x:v>0.1875</x:v>
      </x:c>
    </x:row>
    <x:row r="11">
      <x:c r="A11" t="str">
        <x:v>Qwen3.5-9B</x:v>
      </x:c>
      <x:c r="B11" t="str">
        <x:v>GT Mask-Out</x:v>
      </x:c>
      <x:c r="C11" t="n">
        <x:v>2</x:v>
      </x:c>
      <x:c r="D11" t="str">
        <x:v>Text-in-General</x:v>
      </x:c>
      <x:c r="E11" t="n">
        <x:v>4</x:v>
      </x:c>
      <x:c r="F11" t="n">
        <x:v>9</x:v>
      </x:c>
      <x:c r="G11" s="14" t="n">
        <x:v>0.4444444444444444</x:v>
      </x:c>
    </x:row>
    <x:row r="12">
      <x:c r="A12" t="str">
        <x:v>Qwen3.5-9B</x:v>
      </x:c>
      <x:c r="B12" t="str">
        <x:v>GT Mask-Out</x:v>
      </x:c>
      <x:c r="C12" t="n">
        <x:v>3</x:v>
      </x:c>
      <x:c r="D12" t="str">
        <x:v>Number-in-Chart</x:v>
      </x:c>
      <x:c r="E12" t="n">
        <x:v>2</x:v>
      </x:c>
      <x:c r="F12" t="n">
        <x:v>11</x:v>
      </x:c>
      <x:c r="G12" s="14" t="n">
        <x:v>0.18181818181818182</x:v>
      </x:c>
    </x:row>
    <x:row r="13">
      <x:c r="A13" t="str">
        <x:v>Qwen3.5-9B</x:v>
      </x:c>
      <x:c r="B13" t="str">
        <x:v>GT Mask-Out</x:v>
      </x:c>
      <x:c r="C13" t="n">
        <x:v>4</x:v>
      </x:c>
      <x:c r="D13" t="str">
        <x:v>Number-in-General</x:v>
      </x:c>
      <x:c r="E13" t="n">
        <x:v>2</x:v>
      </x:c>
      <x:c r="F13" t="n">
        <x:v>5</x:v>
      </x:c>
      <x:c r="G13" s="14" t="n">
        <x:v>0.4</x:v>
      </x:c>
    </x:row>
    <x:row r="14">
      <x:c r="A14" t="str">
        <x:v>Qwen3.5-9B</x:v>
      </x:c>
      <x:c r="B14" t="str">
        <x:v>Random Mask-In (seed 20260901)</x:v>
      </x:c>
      <x:c r="C14" t="n">
        <x:v>1</x:v>
      </x:c>
      <x:c r="D14" t="str">
        <x:v>Text-in-Chart</x:v>
      </x:c>
      <x:c r="E14" t="n">
        <x:v>1</x:v>
      </x:c>
      <x:c r="F14" t="n">
        <x:v>16</x:v>
      </x:c>
      <x:c r="G14" s="14" t="n">
        <x:v>0.0625</x:v>
      </x:c>
    </x:row>
    <x:row r="15">
      <x:c r="A15" t="str">
        <x:v>Qwen3.5-9B</x:v>
      </x:c>
      <x:c r="B15" t="str">
        <x:v>Random Mask-In (seed 20260901)</x:v>
      </x:c>
      <x:c r="C15" t="n">
        <x:v>2</x:v>
      </x:c>
      <x:c r="D15" t="str">
        <x:v>Text-in-General</x:v>
      </x:c>
      <x:c r="E15" t="n">
        <x:v>4</x:v>
      </x:c>
      <x:c r="F15" t="n">
        <x:v>9</x:v>
      </x:c>
      <x:c r="G15" s="14" t="n">
        <x:v>0.4444444444444444</x:v>
      </x:c>
    </x:row>
    <x:row r="16">
      <x:c r="A16" t="str">
        <x:v>Qwen3.5-9B</x:v>
      </x:c>
      <x:c r="B16" t="str">
        <x:v>Random Mask-In (seed 20260901)</x:v>
      </x:c>
      <x:c r="C16" t="n">
        <x:v>3</x:v>
      </x:c>
      <x:c r="D16" t="str">
        <x:v>Number-in-Chart</x:v>
      </x:c>
      <x:c r="E16" t="n">
        <x:v>0</x:v>
      </x:c>
      <x:c r="F16" t="n">
        <x:v>11</x:v>
      </x:c>
      <x:c r="G16" s="14" t="n">
        <x:v>0</x:v>
      </x:c>
    </x:row>
    <x:row r="17">
      <x:c r="A17" t="str">
        <x:v>Qwen3.5-9B</x:v>
      </x:c>
      <x:c r="B17" t="str">
        <x:v>Random Mask-In (seed 20260901)</x:v>
      </x:c>
      <x:c r="C17" t="n">
        <x:v>4</x:v>
      </x:c>
      <x:c r="D17" t="str">
        <x:v>Number-in-General</x:v>
      </x:c>
      <x:c r="E17" t="n">
        <x:v>0</x:v>
      </x:c>
      <x:c r="F17" t="n">
        <x:v>5</x:v>
      </x:c>
      <x:c r="G17" s="14" t="n">
        <x:v>0</x:v>
      </x:c>
    </x:row>
    <x:row r="18">
      <x:c r="A18" t="str">
        <x:v>Qwen3.5-9B</x:v>
      </x:c>
      <x:c r="B18" t="str">
        <x:v>Random Mask-In (seed 20260902)</x:v>
      </x:c>
      <x:c r="C18" t="n">
        <x:v>1</x:v>
      </x:c>
      <x:c r="D18" t="str">
        <x:v>Text-in-Chart</x:v>
      </x:c>
      <x:c r="E18" t="n">
        <x:v>0</x:v>
      </x:c>
      <x:c r="F18" t="n">
        <x:v>16</x:v>
      </x:c>
      <x:c r="G18" s="14" t="n">
        <x:v>0</x:v>
      </x:c>
    </x:row>
    <x:row r="19">
      <x:c r="A19" t="str">
        <x:v>Qwen3.5-9B</x:v>
      </x:c>
      <x:c r="B19" t="str">
        <x:v>Random Mask-In (seed 20260902)</x:v>
      </x:c>
      <x:c r="C19" t="n">
        <x:v>2</x:v>
      </x:c>
      <x:c r="D19" t="str">
        <x:v>Text-in-General</x:v>
      </x:c>
      <x:c r="E19" t="n">
        <x:v>0</x:v>
      </x:c>
      <x:c r="F19" t="n">
        <x:v>9</x:v>
      </x:c>
      <x:c r="G19" s="14" t="n">
        <x:v>0</x:v>
      </x:c>
    </x:row>
    <x:row r="20">
      <x:c r="A20" t="str">
        <x:v>Qwen3.5-9B</x:v>
      </x:c>
      <x:c r="B20" t="str">
        <x:v>Random Mask-In (seed 20260902)</x:v>
      </x:c>
      <x:c r="C20" t="n">
        <x:v>3</x:v>
      </x:c>
      <x:c r="D20" t="str">
        <x:v>Number-in-Chart</x:v>
      </x:c>
      <x:c r="E20" t="n">
        <x:v>1</x:v>
      </x:c>
      <x:c r="F20" t="n">
        <x:v>11</x:v>
      </x:c>
      <x:c r="G20" s="14" t="n">
        <x:v>0.09090909090909091</x:v>
      </x:c>
    </x:row>
    <x:row r="21">
      <x:c r="A21" t="str">
        <x:v>Qwen3.5-9B</x:v>
      </x:c>
      <x:c r="B21" t="str">
        <x:v>Random Mask-In (seed 20260902)</x:v>
      </x:c>
      <x:c r="C21" t="n">
        <x:v>4</x:v>
      </x:c>
      <x:c r="D21" t="str">
        <x:v>Number-in-General</x:v>
      </x:c>
      <x:c r="E21" t="n">
        <x:v>0</x:v>
      </x:c>
      <x:c r="F21" t="n">
        <x:v>5</x:v>
      </x:c>
      <x:c r="G21" s="14" t="n">
        <x:v>0</x:v>
      </x:c>
    </x:row>
    <x:row r="22">
      <x:c r="A22" t="str">
        <x:v>Qwen3.5-9B</x:v>
      </x:c>
      <x:c r="B22" t="str">
        <x:v>Random Mask-In (seed 20260903)</x:v>
      </x:c>
      <x:c r="C22" t="n">
        <x:v>1</x:v>
      </x:c>
      <x:c r="D22" t="str">
        <x:v>Text-in-Chart</x:v>
      </x:c>
      <x:c r="E22" t="n">
        <x:v>0</x:v>
      </x:c>
      <x:c r="F22" t="n">
        <x:v>16</x:v>
      </x:c>
      <x:c r="G22" s="14" t="n">
        <x:v>0</x:v>
      </x:c>
    </x:row>
    <x:row r="23">
      <x:c r="A23" t="str">
        <x:v>Qwen3.5-9B</x:v>
      </x:c>
      <x:c r="B23" t="str">
        <x:v>Random Mask-In (seed 20260903)</x:v>
      </x:c>
      <x:c r="C23" t="n">
        <x:v>2</x:v>
      </x:c>
      <x:c r="D23" t="str">
        <x:v>Text-in-General</x:v>
      </x:c>
      <x:c r="E23" t="n">
        <x:v>1</x:v>
      </x:c>
      <x:c r="F23" t="n">
        <x:v>9</x:v>
      </x:c>
      <x:c r="G23" s="14" t="n">
        <x:v>0.1111111111111111</x:v>
      </x:c>
    </x:row>
    <x:row r="24">
      <x:c r="A24" t="str">
        <x:v>Qwen3.5-9B</x:v>
      </x:c>
      <x:c r="B24" t="str">
        <x:v>Random Mask-In (seed 20260903)</x:v>
      </x:c>
      <x:c r="C24" t="n">
        <x:v>3</x:v>
      </x:c>
      <x:c r="D24" t="str">
        <x:v>Number-in-Chart</x:v>
      </x:c>
      <x:c r="E24" t="n">
        <x:v>0</x:v>
      </x:c>
      <x:c r="F24" t="n">
        <x:v>11</x:v>
      </x:c>
      <x:c r="G24" s="14" t="n">
        <x:v>0</x:v>
      </x:c>
    </x:row>
    <x:row r="25">
      <x:c r="A25" t="str">
        <x:v>Qwen3.5-9B</x:v>
      </x:c>
      <x:c r="B25" t="str">
        <x:v>Random Mask-In (seed 20260903)</x:v>
      </x:c>
      <x:c r="C25" t="n">
        <x:v>4</x:v>
      </x:c>
      <x:c r="D25" t="str">
        <x:v>Number-in-General</x:v>
      </x:c>
      <x:c r="E25" t="n">
        <x:v>0</x:v>
      </x:c>
      <x:c r="F25" t="n">
        <x:v>5</x:v>
      </x:c>
      <x:c r="G25" s="14" t="n">
        <x:v>0</x:v>
      </x:c>
    </x:row>
    <x:row r="26">
      <x:c r="A26" t="str">
        <x:v>Qwen3.5-9B</x:v>
      </x:c>
      <x:c r="B26" t="str">
        <x:v>GT ROI</x:v>
      </x:c>
      <x:c r="C26" t="n">
        <x:v>1</x:v>
      </x:c>
      <x:c r="D26" t="str">
        <x:v>Text-in-Chart</x:v>
      </x:c>
      <x:c r="E26" t="n">
        <x:v>11</x:v>
      </x:c>
      <x:c r="F26" t="n">
        <x:v>16</x:v>
      </x:c>
      <x:c r="G26" s="14" t="n">
        <x:v>0.6875</x:v>
      </x:c>
    </x:row>
    <x:row r="27">
      <x:c r="A27" t="str">
        <x:v>Qwen3.5-9B</x:v>
      </x:c>
      <x:c r="B27" t="str">
        <x:v>GT ROI</x:v>
      </x:c>
      <x:c r="C27" t="n">
        <x:v>2</x:v>
      </x:c>
      <x:c r="D27" t="str">
        <x:v>Text-in-General</x:v>
      </x:c>
      <x:c r="E27" t="n">
        <x:v>6</x:v>
      </x:c>
      <x:c r="F27" t="n">
        <x:v>9</x:v>
      </x:c>
      <x:c r="G27" s="14" t="n">
        <x:v>0.6666666666666666</x:v>
      </x:c>
    </x:row>
    <x:row r="28">
      <x:c r="A28" t="str">
        <x:v>Qwen3.5-9B</x:v>
      </x:c>
      <x:c r="B28" t="str">
        <x:v>GT ROI</x:v>
      </x:c>
      <x:c r="C28" t="n">
        <x:v>3</x:v>
      </x:c>
      <x:c r="D28" t="str">
        <x:v>Number-in-Chart</x:v>
      </x:c>
      <x:c r="E28" t="n">
        <x:v>6</x:v>
      </x:c>
      <x:c r="F28" t="n">
        <x:v>11</x:v>
      </x:c>
      <x:c r="G28" s="14" t="n">
        <x:v>0.5454545454545454</x:v>
      </x:c>
    </x:row>
    <x:row r="29">
      <x:c r="A29" t="str">
        <x:v>Qwen3.5-9B</x:v>
      </x:c>
      <x:c r="B29" t="str">
        <x:v>GT ROI</x:v>
      </x:c>
      <x:c r="C29" t="n">
        <x:v>4</x:v>
      </x:c>
      <x:c r="D29" t="str">
        <x:v>Number-in-General</x:v>
      </x:c>
      <x:c r="E29" t="n">
        <x:v>2</x:v>
      </x:c>
      <x:c r="F29" t="n">
        <x:v>5</x:v>
      </x:c>
      <x:c r="G29" s="14" t="n">
        <x:v>0.4</x:v>
      </x:c>
    </x:row>
    <x:row r="30">
      <x:c r="A30" t="str">
        <x:v>Qwen3.5-27B</x:v>
      </x:c>
      <x:c r="B30" t="str">
        <x:v>Full Image</x:v>
      </x:c>
      <x:c r="C30" t="n">
        <x:v>1</x:v>
      </x:c>
      <x:c r="D30" t="str">
        <x:v>Text-in-Chart</x:v>
      </x:c>
      <x:c r="E30" t="n">
        <x:v>12</x:v>
      </x:c>
      <x:c r="F30" t="n">
        <x:v>16</x:v>
      </x:c>
      <x:c r="G30" s="14" t="n">
        <x:v>0.75</x:v>
      </x:c>
    </x:row>
    <x:row r="31">
      <x:c r="A31" t="str">
        <x:v>Qwen3.5-27B</x:v>
      </x:c>
      <x:c r="B31" t="str">
        <x:v>Full Image</x:v>
      </x:c>
      <x:c r="C31" t="n">
        <x:v>2</x:v>
      </x:c>
      <x:c r="D31" t="str">
        <x:v>Text-in-General</x:v>
      </x:c>
      <x:c r="E31" t="n">
        <x:v>8</x:v>
      </x:c>
      <x:c r="F31" t="n">
        <x:v>9</x:v>
      </x:c>
      <x:c r="G31" s="14" t="n">
        <x:v>0.8888888888888888</x:v>
      </x:c>
    </x:row>
    <x:row r="32">
      <x:c r="A32" t="str">
        <x:v>Qwen3.5-27B</x:v>
      </x:c>
      <x:c r="B32" t="str">
        <x:v>Full Image</x:v>
      </x:c>
      <x:c r="C32" t="n">
        <x:v>3</x:v>
      </x:c>
      <x:c r="D32" t="str">
        <x:v>Number-in-Chart</x:v>
      </x:c>
      <x:c r="E32" t="n">
        <x:v>10</x:v>
      </x:c>
      <x:c r="F32" t="n">
        <x:v>11</x:v>
      </x:c>
      <x:c r="G32" s="14" t="n">
        <x:v>0.9090909090909091</x:v>
      </x:c>
    </x:row>
    <x:row r="33">
      <x:c r="A33" t="str">
        <x:v>Qwen3.5-27B</x:v>
      </x:c>
      <x:c r="B33" t="str">
        <x:v>Full Image</x:v>
      </x:c>
      <x:c r="C33" t="n">
        <x:v>4</x:v>
      </x:c>
      <x:c r="D33" t="str">
        <x:v>Number-in-General</x:v>
      </x:c>
      <x:c r="E33" t="n">
        <x:v>4</x:v>
      </x:c>
      <x:c r="F33" t="n">
        <x:v>5</x:v>
      </x:c>
      <x:c r="G33" s="14" t="n">
        <x:v>0.8</x:v>
      </x:c>
    </x:row>
    <x:row r="34">
      <x:c r="A34" t="str">
        <x:v>Qwen3.5-27B</x:v>
      </x:c>
      <x:c r="B34" t="str">
        <x:v>GT Mask-In</x:v>
      </x:c>
      <x:c r="C34" t="n">
        <x:v>1</x:v>
      </x:c>
      <x:c r="D34" t="str">
        <x:v>Text-in-Chart</x:v>
      </x:c>
      <x:c r="E34" t="n">
        <x:v>14</x:v>
      </x:c>
      <x:c r="F34" t="n">
        <x:v>16</x:v>
      </x:c>
      <x:c r="G34" s="14" t="n">
        <x:v>0.875</x:v>
      </x:c>
    </x:row>
    <x:row r="35">
      <x:c r="A35" t="str">
        <x:v>Qwen3.5-27B</x:v>
      </x:c>
      <x:c r="B35" t="str">
        <x:v>GT Mask-In</x:v>
      </x:c>
      <x:c r="C35" t="n">
        <x:v>2</x:v>
      </x:c>
      <x:c r="D35" t="str">
        <x:v>Text-in-General</x:v>
      </x:c>
      <x:c r="E35" t="n">
        <x:v>7</x:v>
      </x:c>
      <x:c r="F35" t="n">
        <x:v>9</x:v>
      </x:c>
      <x:c r="G35" s="14" t="n">
        <x:v>0.7777777777777778</x:v>
      </x:c>
    </x:row>
    <x:row r="36">
      <x:c r="A36" t="str">
        <x:v>Qwen3.5-27B</x:v>
      </x:c>
      <x:c r="B36" t="str">
        <x:v>GT Mask-In</x:v>
      </x:c>
      <x:c r="C36" t="n">
        <x:v>3</x:v>
      </x:c>
      <x:c r="D36" t="str">
        <x:v>Number-in-Chart</x:v>
      </x:c>
      <x:c r="E36" t="n">
        <x:v>9</x:v>
      </x:c>
      <x:c r="F36" t="n">
        <x:v>11</x:v>
      </x:c>
      <x:c r="G36" s="14" t="n">
        <x:v>0.8181818181818182</x:v>
      </x:c>
    </x:row>
    <x:row r="37">
      <x:c r="A37" t="str">
        <x:v>Qwen3.5-27B</x:v>
      </x:c>
      <x:c r="B37" t="str">
        <x:v>GT Mask-In</x:v>
      </x:c>
      <x:c r="C37" t="n">
        <x:v>4</x:v>
      </x:c>
      <x:c r="D37" t="str">
        <x:v>Number-in-General</x:v>
      </x:c>
      <x:c r="E37" t="n">
        <x:v>4</x:v>
      </x:c>
      <x:c r="F37" t="n">
        <x:v>5</x:v>
      </x:c>
      <x:c r="G37" s="14" t="n">
        <x:v>0.8</x:v>
      </x:c>
    </x:row>
    <x:row r="38">
      <x:c r="A38" t="str">
        <x:v>Qwen3.5-27B</x:v>
      </x:c>
      <x:c r="B38" t="str">
        <x:v>GT Mask-Out</x:v>
      </x:c>
      <x:c r="C38" t="n">
        <x:v>1</x:v>
      </x:c>
      <x:c r="D38" t="str">
        <x:v>Text-in-Chart</x:v>
      </x:c>
      <x:c r="E38" t="n">
        <x:v>4</x:v>
      </x:c>
      <x:c r="F38" t="n">
        <x:v>16</x:v>
      </x:c>
      <x:c r="G38" s="14" t="n">
        <x:v>0.25</x:v>
      </x:c>
    </x:row>
    <x:row r="39">
      <x:c r="A39" t="str">
        <x:v>Qwen3.5-27B</x:v>
      </x:c>
      <x:c r="B39" t="str">
        <x:v>GT Mask-Out</x:v>
      </x:c>
      <x:c r="C39" t="n">
        <x:v>2</x:v>
      </x:c>
      <x:c r="D39" t="str">
        <x:v>Text-in-General</x:v>
      </x:c>
      <x:c r="E39" t="n">
        <x:v>7</x:v>
      </x:c>
      <x:c r="F39" t="n">
        <x:v>9</x:v>
      </x:c>
      <x:c r="G39" s="14" t="n">
        <x:v>0.7777777777777778</x:v>
      </x:c>
    </x:row>
    <x:row r="40">
      <x:c r="A40" t="str">
        <x:v>Qwen3.5-27B</x:v>
      </x:c>
      <x:c r="B40" t="str">
        <x:v>GT Mask-Out</x:v>
      </x:c>
      <x:c r="C40" t="n">
        <x:v>3</x:v>
      </x:c>
      <x:c r="D40" t="str">
        <x:v>Number-in-Chart</x:v>
      </x:c>
      <x:c r="E40" t="n">
        <x:v>3</x:v>
      </x:c>
      <x:c r="F40" t="n">
        <x:v>11</x:v>
      </x:c>
      <x:c r="G40" s="14" t="n">
        <x:v>0.2727272727272727</x:v>
      </x:c>
    </x:row>
    <x:row r="41">
      <x:c r="A41" t="str">
        <x:v>Qwen3.5-27B</x:v>
      </x:c>
      <x:c r="B41" t="str">
        <x:v>GT Mask-Out</x:v>
      </x:c>
      <x:c r="C41" t="n">
        <x:v>4</x:v>
      </x:c>
      <x:c r="D41" t="str">
        <x:v>Number-in-General</x:v>
      </x:c>
      <x:c r="E41" t="n">
        <x:v>1</x:v>
      </x:c>
      <x:c r="F41" t="n">
        <x:v>5</x:v>
      </x:c>
      <x:c r="G41" s="14" t="n">
        <x:v>0.2</x:v>
      </x:c>
    </x:row>
    <x:row r="42">
      <x:c r="A42" t="str">
        <x:v>Qwen3.5-27B</x:v>
      </x:c>
      <x:c r="B42" t="str">
        <x:v>Random Mask-In (seed 20260901)</x:v>
      </x:c>
      <x:c r="C42" t="n">
        <x:v>1</x:v>
      </x:c>
      <x:c r="D42" t="str">
        <x:v>Text-in-Chart</x:v>
      </x:c>
      <x:c r="E42" t="n">
        <x:v>2</x:v>
      </x:c>
      <x:c r="F42" t="n">
        <x:v>16</x:v>
      </x:c>
      <x:c r="G42" s="14" t="n">
        <x:v>0.125</x:v>
      </x:c>
    </x:row>
    <x:row r="43">
      <x:c r="A43" t="str">
        <x:v>Qwen3.5-27B</x:v>
      </x:c>
      <x:c r="B43" t="str">
        <x:v>Random Mask-In (seed 20260901)</x:v>
      </x:c>
      <x:c r="C43" t="n">
        <x:v>2</x:v>
      </x:c>
      <x:c r="D43" t="str">
        <x:v>Text-in-General</x:v>
      </x:c>
      <x:c r="E43" t="n">
        <x:v>4</x:v>
      </x:c>
      <x:c r="F43" t="n">
        <x:v>9</x:v>
      </x:c>
      <x:c r="G43" s="14" t="n">
        <x:v>0.4444444444444444</x:v>
      </x:c>
    </x:row>
    <x:row r="44">
      <x:c r="A44" t="str">
        <x:v>Qwen3.5-27B</x:v>
      </x:c>
      <x:c r="B44" t="str">
        <x:v>Random Mask-In (seed 20260901)</x:v>
      </x:c>
      <x:c r="C44" t="n">
        <x:v>3</x:v>
      </x:c>
      <x:c r="D44" t="str">
        <x:v>Number-in-Chart</x:v>
      </x:c>
      <x:c r="E44" t="n">
        <x:v>1</x:v>
      </x:c>
      <x:c r="F44" t="n">
        <x:v>11</x:v>
      </x:c>
      <x:c r="G44" s="14" t="n">
        <x:v>0.09090909090909091</x:v>
      </x:c>
    </x:row>
    <x:row r="45">
      <x:c r="A45" t="str">
        <x:v>Qwen3.5-27B</x:v>
      </x:c>
      <x:c r="B45" t="str">
        <x:v>Random Mask-In (seed 20260901)</x:v>
      </x:c>
      <x:c r="C45" t="n">
        <x:v>4</x:v>
      </x:c>
      <x:c r="D45" t="str">
        <x:v>Number-in-General</x:v>
      </x:c>
      <x:c r="E45" t="n">
        <x:v>1</x:v>
      </x:c>
      <x:c r="F45" t="n">
        <x:v>5</x:v>
      </x:c>
      <x:c r="G45" s="14" t="n">
        <x:v>0.2</x:v>
      </x:c>
    </x:row>
    <x:row r="46">
      <x:c r="A46" t="str">
        <x:v>Qwen3.5-27B</x:v>
      </x:c>
      <x:c r="B46" t="str">
        <x:v>Random Mask-In (seed 20260902)</x:v>
      </x:c>
      <x:c r="C46" t="n">
        <x:v>1</x:v>
      </x:c>
      <x:c r="D46" t="str">
        <x:v>Text-in-Chart</x:v>
      </x:c>
      <x:c r="E46" t="n">
        <x:v>0</x:v>
      </x:c>
      <x:c r="F46" t="n">
        <x:v>16</x:v>
      </x:c>
      <x:c r="G46" s="14" t="n">
        <x:v>0</x:v>
      </x:c>
    </x:row>
    <x:row r="47">
      <x:c r="A47" t="str">
        <x:v>Qwen3.5-27B</x:v>
      </x:c>
      <x:c r="B47" t="str">
        <x:v>Random Mask-In (seed 20260902)</x:v>
      </x:c>
      <x:c r="C47" t="n">
        <x:v>2</x:v>
      </x:c>
      <x:c r="D47" t="str">
        <x:v>Text-in-General</x:v>
      </x:c>
      <x:c r="E47" t="n">
        <x:v>0</x:v>
      </x:c>
      <x:c r="F47" t="n">
        <x:v>9</x:v>
      </x:c>
      <x:c r="G47" s="14" t="n">
        <x:v>0</x:v>
      </x:c>
    </x:row>
    <x:row r="48">
      <x:c r="A48" t="str">
        <x:v>Qwen3.5-27B</x:v>
      </x:c>
      <x:c r="B48" t="str">
        <x:v>Random Mask-In (seed 20260902)</x:v>
      </x:c>
      <x:c r="C48" t="n">
        <x:v>3</x:v>
      </x:c>
      <x:c r="D48" t="str">
        <x:v>Number-in-Chart</x:v>
      </x:c>
      <x:c r="E48" t="n">
        <x:v>0</x:v>
      </x:c>
      <x:c r="F48" t="n">
        <x:v>11</x:v>
      </x:c>
      <x:c r="G48" s="14" t="n">
        <x:v>0</x:v>
      </x:c>
    </x:row>
    <x:row r="49">
      <x:c r="A49" t="str">
        <x:v>Qwen3.5-27B</x:v>
      </x:c>
      <x:c r="B49" t="str">
        <x:v>Random Mask-In (seed 20260902)</x:v>
      </x:c>
      <x:c r="C49" t="n">
        <x:v>4</x:v>
      </x:c>
      <x:c r="D49" t="str">
        <x:v>Number-in-General</x:v>
      </x:c>
      <x:c r="E49" t="n">
        <x:v>1</x:v>
      </x:c>
      <x:c r="F49" t="n">
        <x:v>5</x:v>
      </x:c>
      <x:c r="G49" s="14" t="n">
        <x:v>0.2</x:v>
      </x:c>
    </x:row>
    <x:row r="50">
      <x:c r="A50" t="str">
        <x:v>Qwen3.5-27B</x:v>
      </x:c>
      <x:c r="B50" t="str">
        <x:v>Random Mask-In (seed 20260903)</x:v>
      </x:c>
      <x:c r="C50" t="n">
        <x:v>1</x:v>
      </x:c>
      <x:c r="D50" t="str">
        <x:v>Text-in-Chart</x:v>
      </x:c>
      <x:c r="E50" t="n">
        <x:v>0</x:v>
      </x:c>
      <x:c r="F50" t="n">
        <x:v>16</x:v>
      </x:c>
      <x:c r="G50" s="14" t="n">
        <x:v>0</x:v>
      </x:c>
    </x:row>
    <x:row r="51">
      <x:c r="A51" t="str">
        <x:v>Qwen3.5-27B</x:v>
      </x:c>
      <x:c r="B51" t="str">
        <x:v>Random Mask-In (seed 20260903)</x:v>
      </x:c>
      <x:c r="C51" t="n">
        <x:v>2</x:v>
      </x:c>
      <x:c r="D51" t="str">
        <x:v>Text-in-General</x:v>
      </x:c>
      <x:c r="E51" t="n">
        <x:v>3</x:v>
      </x:c>
      <x:c r="F51" t="n">
        <x:v>9</x:v>
      </x:c>
      <x:c r="G51" s="14" t="n">
        <x:v>0.3333333333333333</x:v>
      </x:c>
    </x:row>
    <x:row r="52">
      <x:c r="A52" t="str">
        <x:v>Qwen3.5-27B</x:v>
      </x:c>
      <x:c r="B52" t="str">
        <x:v>Random Mask-In (seed 20260903)</x:v>
      </x:c>
      <x:c r="C52" t="n">
        <x:v>3</x:v>
      </x:c>
      <x:c r="D52" t="str">
        <x:v>Number-in-Chart</x:v>
      </x:c>
      <x:c r="E52" t="n">
        <x:v>1</x:v>
      </x:c>
      <x:c r="F52" t="n">
        <x:v>11</x:v>
      </x:c>
      <x:c r="G52" s="14" t="n">
        <x:v>0.09090909090909091</x:v>
      </x:c>
    </x:row>
    <x:row r="53">
      <x:c r="A53" t="str">
        <x:v>Qwen3.5-27B</x:v>
      </x:c>
      <x:c r="B53" t="str">
        <x:v>Random Mask-In (seed 20260903)</x:v>
      </x:c>
      <x:c r="C53" t="n">
        <x:v>4</x:v>
      </x:c>
      <x:c r="D53" t="str">
        <x:v>Number-in-General</x:v>
      </x:c>
      <x:c r="E53" t="n">
        <x:v>1</x:v>
      </x:c>
      <x:c r="F53" t="n">
        <x:v>5</x:v>
      </x:c>
      <x:c r="G53" s="14" t="n">
        <x:v>0.2</x:v>
      </x:c>
    </x:row>
    <x:row r="54">
      <x:c r="A54" t="str">
        <x:v>Qwen3.5-27B</x:v>
      </x:c>
      <x:c r="B54" t="str">
        <x:v>GT ROI</x:v>
      </x:c>
      <x:c r="C54" t="n">
        <x:v>1</x:v>
      </x:c>
      <x:c r="D54" t="str">
        <x:v>Text-in-Chart</x:v>
      </x:c>
      <x:c r="E54" t="n">
        <x:v>13</x:v>
      </x:c>
      <x:c r="F54" t="n">
        <x:v>16</x:v>
      </x:c>
      <x:c r="G54" s="14" t="n">
        <x:v>0.8125</x:v>
      </x:c>
    </x:row>
    <x:row r="55">
      <x:c r="A55" t="str">
        <x:v>Qwen3.5-27B</x:v>
      </x:c>
      <x:c r="B55" t="str">
        <x:v>GT ROI</x:v>
      </x:c>
      <x:c r="C55" t="n">
        <x:v>2</x:v>
      </x:c>
      <x:c r="D55" t="str">
        <x:v>Text-in-General</x:v>
      </x:c>
      <x:c r="E55" t="n">
        <x:v>7</x:v>
      </x:c>
      <x:c r="F55" t="n">
        <x:v>9</x:v>
      </x:c>
      <x:c r="G55" s="14" t="n">
        <x:v>0.7777777777777778</x:v>
      </x:c>
    </x:row>
    <x:row r="56">
      <x:c r="A56" t="str">
        <x:v>Qwen3.5-27B</x:v>
      </x:c>
      <x:c r="B56" t="str">
        <x:v>GT ROI</x:v>
      </x:c>
      <x:c r="C56" t="n">
        <x:v>3</x:v>
      </x:c>
      <x:c r="D56" t="str">
        <x:v>Number-in-Chart</x:v>
      </x:c>
      <x:c r="E56" t="n">
        <x:v>8</x:v>
      </x:c>
      <x:c r="F56" t="n">
        <x:v>11</x:v>
      </x:c>
      <x:c r="G56" s="14" t="n">
        <x:v>0.7272727272727273</x:v>
      </x:c>
    </x:row>
    <x:row r="57">
      <x:c r="A57" t="str">
        <x:v>Qwen3.5-27B</x:v>
      </x:c>
      <x:c r="B57" t="str">
        <x:v>GT ROI</x:v>
      </x:c>
      <x:c r="C57" t="n">
        <x:v>4</x:v>
      </x:c>
      <x:c r="D57" t="str">
        <x:v>Number-in-General</x:v>
      </x:c>
      <x:c r="E57" t="n">
        <x:v>3</x:v>
      </x:c>
      <x:c r="F57" t="n">
        <x:v>5</x:v>
      </x:c>
      <x:c r="G57" s="14" t="n">
        <x:v>0.6</x:v>
      </x:c>
    </x:row>
  </x:sheetData>
  <x:pageMargins left="0.7" right="0.7" top="0.75" bottom="0.75" header="0.3" footer="0.3"/>
  <x:tableParts count="1">
    <x:tablePart xmlns:r="http://schemas.openxmlformats.org/officeDocument/2006/relationships" r:id="R8c77869f5efb43c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1" ht="32" customHeight="1">
      <x:c r="A1" s="12" t="str">
        <x:v>Index</x:v>
      </x:c>
      <x:c r="B1" s="12" t="str">
        <x:v>Category ID</x:v>
      </x:c>
      <x:c r="C1" s="12" t="str">
        <x:v>Category</x:v>
      </x:c>
      <x:c r="D1" s="12" t="str">
        <x:v>Full Image 9B</x:v>
      </x:c>
      <x:c r="E1" s="12" t="str">
        <x:v>Full Image 27B</x:v>
      </x:c>
      <x:c r="F1" s="12" t="str">
        <x:v>Full Image delta</x:v>
      </x:c>
      <x:c r="G1" s="12" t="str">
        <x:v>GT Mask-In 9B</x:v>
      </x:c>
      <x:c r="H1" s="12" t="str">
        <x:v>GT Mask-In 27B</x:v>
      </x:c>
      <x:c r="I1" s="12" t="str">
        <x:v>GT Mask-In delta</x:v>
      </x:c>
      <x:c r="J1" s="12" t="str">
        <x:v>GT Mask-Out 9B</x:v>
      </x:c>
      <x:c r="K1" s="12" t="str">
        <x:v>GT Mask-Out 27B</x:v>
      </x:c>
      <x:c r="L1" s="12" t="str">
        <x:v>GT Mask-Out delta</x:v>
      </x:c>
      <x:c r="M1" s="12" t="str">
        <x:v>Random Mask-In (seed 20260901) 9B</x:v>
      </x:c>
      <x:c r="N1" s="12" t="str">
        <x:v>Random Mask-In (seed 20260901) 27B</x:v>
      </x:c>
      <x:c r="O1" s="12" t="str">
        <x:v>Random Mask-In (seed 20260901) delta</x:v>
      </x:c>
      <x:c r="P1" s="12" t="str">
        <x:v>Random Mask-In (seed 20260902) 9B</x:v>
      </x:c>
      <x:c r="Q1" s="12" t="str">
        <x:v>Random Mask-In (seed 20260902) 27B</x:v>
      </x:c>
      <x:c r="R1" s="12" t="str">
        <x:v>Random Mask-In (seed 20260902) delta</x:v>
      </x:c>
      <x:c r="S1" s="12" t="str">
        <x:v>Random Mask-In (seed 20260903) 9B</x:v>
      </x:c>
      <x:c r="T1" s="12" t="str">
        <x:v>Random Mask-In (seed 20260903) 27B</x:v>
      </x:c>
      <x:c r="U1" s="12" t="str">
        <x:v>Random Mask-In (seed 20260903) delta</x:v>
      </x:c>
      <x:c r="V1" s="12" t="str">
        <x:v>GT ROI 9B</x:v>
      </x:c>
      <x:c r="W1" s="12" t="str">
        <x:v>GT ROI 27B</x:v>
      </x:c>
      <x:c r="X1" s="12" t="str">
        <x:v>GT ROI delta</x:v>
      </x:c>
      <x:c r="Y1" s="12" t="str">
        <x:v>Random Mask-In (3-seed mean) 9B</x:v>
      </x:c>
      <x:c r="Z1" s="12" t="str">
        <x:v>Random Mask-In (3-seed mean) 27B</x:v>
      </x:c>
      <x:c r="AA1" s="12" t="str">
        <x:v>Random Mask-In (3-seed mean) delta</x:v>
      </x:c>
    </x:row>
    <x:row r="2">
      <x:c r="A2" t="n">
        <x:v>1</x:v>
      </x:c>
      <x:c r="B2" t="n">
        <x:v>1</x:v>
      </x:c>
      <x:c r="C2" t="str">
        <x:v>Text-in-Chart</x:v>
      </x:c>
      <x:c r="D2" t="n">
        <x:v>0</x:v>
      </x:c>
      <x:c r="E2" t="n">
        <x:v>0</x:v>
      </x:c>
      <x:c r="F2" t="n">
        <x:f>E2-D2</x:f>
        <x:v>0</x:v>
      </x:c>
      <x:c r="G2" t="n">
        <x:v>1</x:v>
      </x:c>
      <x:c r="H2" t="n">
        <x:v>1</x:v>
      </x:c>
      <x:c r="I2" t="n">
        <x:f>H2-G2</x:f>
        <x:v>0</x:v>
      </x:c>
      <x:c r="J2" t="n">
        <x:v>0</x:v>
      </x:c>
      <x:c r="K2" t="n">
        <x:v>0</x:v>
      </x:c>
      <x:c r="L2" t="n">
        <x:f>K2-J2</x:f>
        <x:v>0</x:v>
      </x:c>
      <x:c r="M2" t="n">
        <x:v>0</x:v>
      </x:c>
      <x:c r="N2" t="n">
        <x:v>0</x:v>
      </x:c>
      <x:c r="O2" t="n">
        <x:f>N2-M2</x:f>
        <x:v>0</x:v>
      </x:c>
      <x:c r="P2" t="n">
        <x:v>0</x:v>
      </x:c>
      <x:c r="Q2" t="n">
        <x:v>0</x:v>
      </x:c>
      <x:c r="R2" t="n">
        <x:f>Q2-P2</x:f>
        <x:v>0</x:v>
      </x:c>
      <x:c r="S2" t="n">
        <x:v>0</x:v>
      </x:c>
      <x:c r="T2" t="n">
        <x:v>0</x:v>
      </x:c>
      <x:c r="U2" t="n">
        <x:f>T2-S2</x:f>
        <x:v>0</x:v>
      </x:c>
      <x:c r="V2" t="n">
        <x:v>0</x:v>
      </x:c>
      <x:c r="W2" t="n">
        <x:v>1</x:v>
      </x:c>
      <x:c r="X2" t="n">
        <x:f>W2-V2</x:f>
        <x:v>1</x:v>
      </x:c>
      <x:c r="Y2" t="n">
        <x:v>0</x:v>
      </x:c>
      <x:c r="Z2" t="n">
        <x:v>0</x:v>
      </x:c>
      <x:c r="AA2" t="n">
        <x:f>Z2-Y2</x:f>
        <x:v>0</x:v>
      </x:c>
    </x:row>
    <x:row r="3">
      <x:c r="A3" t="n">
        <x:v>8</x:v>
      </x:c>
      <x:c r="B3" t="n">
        <x:v>3</x:v>
      </x:c>
      <x:c r="C3" t="str">
        <x:v>Number-in-Chart</x:v>
      </x:c>
      <x:c r="D3" t="n">
        <x:v>1</x:v>
      </x:c>
      <x:c r="E3" t="n">
        <x:v>1</x:v>
      </x:c>
      <x:c r="F3" t="n">
        <x:f>E3-D3</x:f>
        <x:v>0</x:v>
      </x:c>
      <x:c r="G3" t="n">
        <x:v>0</x:v>
      </x:c>
      <x:c r="H3" t="n">
        <x:v>1</x:v>
      </x:c>
      <x:c r="I3" t="n">
        <x:f>H3-G3</x:f>
        <x:v>1</x:v>
      </x:c>
      <x:c r="J3" t="n">
        <x:v>0</x:v>
      </x:c>
      <x:c r="K3" t="n">
        <x:v>0</x:v>
      </x:c>
      <x:c r="L3" t="n">
        <x:f>K3-J3</x:f>
        <x:v>0</x:v>
      </x:c>
      <x:c r="M3" t="n">
        <x:v>0</x:v>
      </x:c>
      <x:c r="N3" t="n">
        <x:v>0</x:v>
      </x:c>
      <x:c r="O3" t="n">
        <x:f>N3-M3</x:f>
        <x:v>0</x:v>
      </x:c>
      <x:c r="P3" t="n">
        <x:v>0</x:v>
      </x:c>
      <x:c r="Q3" t="n">
        <x:v>0</x:v>
      </x:c>
      <x:c r="R3" t="n">
        <x:f>Q3-P3</x:f>
        <x:v>0</x:v>
      </x:c>
      <x:c r="S3" t="n">
        <x:v>0</x:v>
      </x:c>
      <x:c r="T3" t="n">
        <x:v>0</x:v>
      </x:c>
      <x:c r="U3" t="n">
        <x:f>T3-S3</x:f>
        <x:v>0</x:v>
      </x:c>
      <x:c r="V3" t="n">
        <x:v>1</x:v>
      </x:c>
      <x:c r="W3" t="n">
        <x:v>1</x:v>
      </x:c>
      <x:c r="X3" t="n">
        <x:f>W3-V3</x:f>
        <x:v>0</x:v>
      </x:c>
      <x:c r="Y3" t="n">
        <x:v>0</x:v>
      </x:c>
      <x:c r="Z3" t="n">
        <x:v>0</x:v>
      </x:c>
      <x:c r="AA3" t="n">
        <x:f>Z3-Y3</x:f>
        <x:v>0</x:v>
      </x:c>
    </x:row>
    <x:row r="4">
      <x:c r="A4" t="n">
        <x:v>17</x:v>
      </x:c>
      <x:c r="B4" t="n">
        <x:v>2</x:v>
      </x:c>
      <x:c r="C4" t="str">
        <x:v>Text-in-General</x:v>
      </x:c>
      <x:c r="D4" t="n">
        <x:v>1</x:v>
      </x:c>
      <x:c r="E4" t="n">
        <x:v>1</x:v>
      </x:c>
      <x:c r="F4" t="n">
        <x:f>E4-D4</x:f>
        <x:v>0</x:v>
      </x:c>
      <x:c r="G4" t="n">
        <x:v>0</x:v>
      </x:c>
      <x:c r="H4" t="n">
        <x:v>1</x:v>
      </x:c>
      <x:c r="I4" t="n">
        <x:f>H4-G4</x:f>
        <x:v>1</x:v>
      </x:c>
      <x:c r="J4" t="n">
        <x:v>0</x:v>
      </x:c>
      <x:c r="K4" t="n">
        <x:v>1</x:v>
      </x:c>
      <x:c r="L4" t="n">
        <x:f>K4-J4</x:f>
        <x:v>1</x:v>
      </x:c>
      <x:c r="M4" t="n">
        <x:v>1</x:v>
      </x:c>
      <x:c r="N4" t="n">
        <x:v>1</x:v>
      </x:c>
      <x:c r="O4" t="n">
        <x:f>N4-M4</x:f>
        <x:v>0</x:v>
      </x:c>
      <x:c r="P4" t="n">
        <x:v>0</x:v>
      </x:c>
      <x:c r="Q4" t="n">
        <x:v>0</x:v>
      </x:c>
      <x:c r="R4" t="n">
        <x:f>Q4-P4</x:f>
        <x:v>0</x:v>
      </x:c>
      <x:c r="S4" t="n">
        <x:v>0</x:v>
      </x:c>
      <x:c r="T4" t="n">
        <x:v>1</x:v>
      </x:c>
      <x:c r="U4" t="n">
        <x:f>T4-S4</x:f>
        <x:v>1</x:v>
      </x:c>
      <x:c r="V4" t="n">
        <x:v>0</x:v>
      </x:c>
      <x:c r="W4" t="n">
        <x:v>1</x:v>
      </x:c>
      <x:c r="X4" t="n">
        <x:f>W4-V4</x:f>
        <x:v>1</x:v>
      </x:c>
      <x:c r="Y4" t="n">
        <x:v>0.3333333333</x:v>
      </x:c>
      <x:c r="Z4" t="n">
        <x:v>0.6666666667</x:v>
      </x:c>
      <x:c r="AA4" t="n">
        <x:f>Z4-Y4</x:f>
        <x:v>0.3333333334</x:v>
      </x:c>
    </x:row>
    <x:row r="5">
      <x:c r="A5" t="n">
        <x:v>21</x:v>
      </x:c>
      <x:c r="B5" t="n">
        <x:v>1</x:v>
      </x:c>
      <x:c r="C5" t="str">
        <x:v>Text-in-Chart</x:v>
      </x:c>
      <x:c r="D5" t="n">
        <x:v>1</x:v>
      </x:c>
      <x:c r="E5" t="n">
        <x:v>1</x:v>
      </x:c>
      <x:c r="F5" t="n">
        <x:f>E5-D5</x:f>
        <x:v>0</x:v>
      </x:c>
      <x:c r="G5" t="n">
        <x:v>0</x:v>
      </x:c>
      <x:c r="H5" t="n">
        <x:v>0</x:v>
      </x:c>
      <x:c r="I5" t="n">
        <x:f>H5-G5</x:f>
        <x:v>0</x:v>
      </x:c>
      <x:c r="J5" t="n">
        <x:v>0</x:v>
      </x:c>
      <x:c r="K5" t="n">
        <x:v>0</x:v>
      </x:c>
      <x:c r="L5" t="n">
        <x:f>K5-J5</x:f>
        <x:v>0</x:v>
      </x:c>
      <x:c r="M5" t="n">
        <x:v>0</x:v>
      </x:c>
      <x:c r="N5" t="n">
        <x:v>0</x:v>
      </x:c>
      <x:c r="O5" t="n">
        <x:f>N5-M5</x:f>
        <x:v>0</x:v>
      </x:c>
      <x:c r="P5" t="n">
        <x:v>0</x:v>
      </x:c>
      <x:c r="Q5" t="n">
        <x:v>0</x:v>
      </x:c>
      <x:c r="R5" t="n">
        <x:f>Q5-P5</x:f>
        <x:v>0</x:v>
      </x:c>
      <x:c r="S5" t="n">
        <x:v>0</x:v>
      </x:c>
      <x:c r="T5" t="n">
        <x:v>0</x:v>
      </x:c>
      <x:c r="U5" t="n">
        <x:f>T5-S5</x:f>
        <x:v>0</x:v>
      </x:c>
      <x:c r="V5" t="n">
        <x:v>0</x:v>
      </x:c>
      <x:c r="W5" t="n">
        <x:v>0</x:v>
      </x:c>
      <x:c r="X5" t="n">
        <x:f>W5-V5</x:f>
        <x:v>0</x:v>
      </x:c>
      <x:c r="Y5" t="n">
        <x:v>0</x:v>
      </x:c>
      <x:c r="Z5" t="n">
        <x:v>0</x:v>
      </x:c>
      <x:c r="AA5" t="n">
        <x:f>Z5-Y5</x:f>
        <x:v>0</x:v>
      </x:c>
    </x:row>
    <x:row r="6">
      <x:c r="A6" t="n">
        <x:v>27</x:v>
      </x:c>
      <x:c r="B6" t="n">
        <x:v>3</x:v>
      </x:c>
      <x:c r="C6" t="str">
        <x:v>Number-in-Chart</x:v>
      </x:c>
      <x:c r="D6" t="n">
        <x:v>1</x:v>
      </x:c>
      <x:c r="E6" t="n">
        <x:v>1</x:v>
      </x:c>
      <x:c r="F6" t="n">
        <x:f>E6-D6</x:f>
        <x:v>0</x:v>
      </x:c>
      <x:c r="G6" t="n">
        <x:v>1</x:v>
      </x:c>
      <x:c r="H6" t="n">
        <x:v>1</x:v>
      </x:c>
      <x:c r="I6" t="n">
        <x:f>H6-G6</x:f>
        <x:v>0</x:v>
      </x:c>
      <x:c r="J6" t="n">
        <x:v>0</x:v>
      </x:c>
      <x:c r="K6" t="n">
        <x:v>1</x:v>
      </x:c>
      <x:c r="L6" t="n">
        <x:f>K6-J6</x:f>
        <x:v>1</x:v>
      </x:c>
      <x:c r="M6" t="n">
        <x:v>0</x:v>
      </x:c>
      <x:c r="N6" t="n">
        <x:v>0</x:v>
      </x:c>
      <x:c r="O6" t="n">
        <x:f>N6-M6</x:f>
        <x:v>0</x:v>
      </x:c>
      <x:c r="P6" t="n">
        <x:v>0</x:v>
      </x:c>
      <x:c r="Q6" t="n">
        <x:v>0</x:v>
      </x:c>
      <x:c r="R6" t="n">
        <x:f>Q6-P6</x:f>
        <x:v>0</x:v>
      </x:c>
      <x:c r="S6" t="n">
        <x:v>0</x:v>
      </x:c>
      <x:c r="T6" t="n">
        <x:v>1</x:v>
      </x:c>
      <x:c r="U6" t="n">
        <x:f>T6-S6</x:f>
        <x:v>1</x:v>
      </x:c>
      <x:c r="V6" t="n">
        <x:v>0</x:v>
      </x:c>
      <x:c r="W6" t="n">
        <x:v>1</x:v>
      </x:c>
      <x:c r="X6" t="n">
        <x:f>W6-V6</x:f>
        <x:v>1</x:v>
      </x:c>
      <x:c r="Y6" t="n">
        <x:v>0</x:v>
      </x:c>
      <x:c r="Z6" t="n">
        <x:v>0.3333333333</x:v>
      </x:c>
      <x:c r="AA6" t="n">
        <x:f>Z6-Y6</x:f>
        <x:v>0.3333333333</x:v>
      </x:c>
    </x:row>
    <x:row r="7">
      <x:c r="A7" t="n">
        <x:v>59</x:v>
      </x:c>
      <x:c r="B7" t="n">
        <x:v>1</x:v>
      </x:c>
      <x:c r="C7" t="str">
        <x:v>Text-in-Chart</x:v>
      </x:c>
      <x:c r="D7" t="n">
        <x:v>1</x:v>
      </x:c>
      <x:c r="E7" t="n">
        <x:v>1</x:v>
      </x:c>
      <x:c r="F7" t="n">
        <x:f>E7-D7</x:f>
        <x:v>0</x:v>
      </x:c>
      <x:c r="G7" t="n">
        <x:v>1</x:v>
      </x:c>
      <x:c r="H7" t="n">
        <x:v>1</x:v>
      </x:c>
      <x:c r="I7" t="n">
        <x:f>H7-G7</x:f>
        <x:v>0</x:v>
      </x:c>
      <x:c r="J7" t="n">
        <x:v>1</x:v>
      </x:c>
      <x:c r="K7" t="n">
        <x:v>1</x:v>
      </x:c>
      <x:c r="L7" t="n">
        <x:f>K7-J7</x:f>
        <x:v>0</x:v>
      </x:c>
      <x:c r="M7" t="n">
        <x:v>0</x:v>
      </x:c>
      <x:c r="N7" t="n">
        <x:v>0</x:v>
      </x:c>
      <x:c r="O7" t="n">
        <x:f>N7-M7</x:f>
        <x:v>0</x:v>
      </x:c>
      <x:c r="P7" t="n">
        <x:v>0</x:v>
      </x:c>
      <x:c r="Q7" t="n">
        <x:v>0</x:v>
      </x:c>
      <x:c r="R7" t="n">
        <x:f>Q7-P7</x:f>
        <x:v>0</x:v>
      </x:c>
      <x:c r="S7" t="n">
        <x:v>0</x:v>
      </x:c>
      <x:c r="T7" t="n">
        <x:v>0</x:v>
      </x:c>
      <x:c r="U7" t="n">
        <x:f>T7-S7</x:f>
        <x:v>0</x:v>
      </x:c>
      <x:c r="V7" t="n">
        <x:v>1</x:v>
      </x:c>
      <x:c r="W7" t="n">
        <x:v>1</x:v>
      </x:c>
      <x:c r="X7" t="n">
        <x:f>W7-V7</x:f>
        <x:v>0</x:v>
      </x:c>
      <x:c r="Y7" t="n">
        <x:v>0</x:v>
      </x:c>
      <x:c r="Z7" t="n">
        <x:v>0</x:v>
      </x:c>
      <x:c r="AA7" t="n">
        <x:f>Z7-Y7</x:f>
        <x:v>0</x:v>
      </x:c>
    </x:row>
    <x:row r="8">
      <x:c r="A8" t="n">
        <x:v>85</x:v>
      </x:c>
      <x:c r="B8" t="n">
        <x:v>2</x:v>
      </x:c>
      <x:c r="C8" t="str">
        <x:v>Text-in-General</x:v>
      </x:c>
      <x:c r="D8" t="n">
        <x:v>1</x:v>
      </x:c>
      <x:c r="E8" t="n">
        <x:v>1</x:v>
      </x:c>
      <x:c r="F8" t="n">
        <x:f>E8-D8</x:f>
        <x:v>0</x:v>
      </x:c>
      <x:c r="G8" t="n">
        <x:v>1</x:v>
      </x:c>
      <x:c r="H8" t="n">
        <x:v>1</x:v>
      </x:c>
      <x:c r="I8" t="n">
        <x:f>H8-G8</x:f>
        <x:v>0</x:v>
      </x:c>
      <x:c r="J8" t="n">
        <x:v>0</x:v>
      </x:c>
      <x:c r="K8" t="n">
        <x:v>1</x:v>
      </x:c>
      <x:c r="L8" t="n">
        <x:f>K8-J8</x:f>
        <x:v>1</x:v>
      </x:c>
      <x:c r="M8" t="n">
        <x:v>0</x:v>
      </x:c>
      <x:c r="N8" t="n">
        <x:v>0</x:v>
      </x:c>
      <x:c r="O8" t="n">
        <x:f>N8-M8</x:f>
        <x:v>0</x:v>
      </x:c>
      <x:c r="P8" t="n">
        <x:v>0</x:v>
      </x:c>
      <x:c r="Q8" t="n">
        <x:v>0</x:v>
      </x:c>
      <x:c r="R8" t="n">
        <x:f>Q8-P8</x:f>
        <x:v>0</x:v>
      </x:c>
      <x:c r="S8" t="n">
        <x:v>0</x:v>
      </x:c>
      <x:c r="T8" t="n">
        <x:v>0</x:v>
      </x:c>
      <x:c r="U8" t="n">
        <x:f>T8-S8</x:f>
        <x:v>0</x:v>
      </x:c>
      <x:c r="V8" t="n">
        <x:v>1</x:v>
      </x:c>
      <x:c r="W8" t="n">
        <x:v>1</x:v>
      </x:c>
      <x:c r="X8" t="n">
        <x:f>W8-V8</x:f>
        <x:v>0</x:v>
      </x:c>
      <x:c r="Y8" t="n">
        <x:v>0</x:v>
      </x:c>
      <x:c r="Z8" t="n">
        <x:v>0</x:v>
      </x:c>
      <x:c r="AA8" t="n">
        <x:f>Z8-Y8</x:f>
        <x:v>0</x:v>
      </x:c>
    </x:row>
    <x:row r="9">
      <x:c r="A9" t="n">
        <x:v>128</x:v>
      </x:c>
      <x:c r="B9" t="n">
        <x:v>3</x:v>
      </x:c>
      <x:c r="C9" t="str">
        <x:v>Number-in-Chart</x:v>
      </x:c>
      <x:c r="D9" t="n">
        <x:v>1</x:v>
      </x:c>
      <x:c r="E9" t="n">
        <x:v>1</x:v>
      </x:c>
      <x:c r="F9" t="n">
        <x:f>E9-D9</x:f>
        <x:v>0</x:v>
      </x:c>
      <x:c r="G9" t="n">
        <x:v>1</x:v>
      </x:c>
      <x:c r="H9" t="n">
        <x:v>1</x:v>
      </x:c>
      <x:c r="I9" t="n">
        <x:f>H9-G9</x:f>
        <x:v>0</x:v>
      </x:c>
      <x:c r="J9" t="n">
        <x:v>0</x:v>
      </x:c>
      <x:c r="K9" t="n">
        <x:v>0</x:v>
      </x:c>
      <x:c r="L9" t="n">
        <x:f>K9-J9</x:f>
        <x:v>0</x:v>
      </x:c>
      <x:c r="M9" t="n">
        <x:v>0</x:v>
      </x:c>
      <x:c r="N9" t="n">
        <x:v>0</x:v>
      </x:c>
      <x:c r="O9" t="n">
        <x:f>N9-M9</x:f>
        <x:v>0</x:v>
      </x:c>
      <x:c r="P9" t="n">
        <x:v>0</x:v>
      </x:c>
      <x:c r="Q9" t="n">
        <x:v>0</x:v>
      </x:c>
      <x:c r="R9" t="n">
        <x:f>Q9-P9</x:f>
        <x:v>0</x:v>
      </x:c>
      <x:c r="S9" t="n">
        <x:v>0</x:v>
      </x:c>
      <x:c r="T9" t="n">
        <x:v>0</x:v>
      </x:c>
      <x:c r="U9" t="n">
        <x:f>T9-S9</x:f>
        <x:v>0</x:v>
      </x:c>
      <x:c r="V9" t="n">
        <x:v>1</x:v>
      </x:c>
      <x:c r="W9" t="n">
        <x:v>1</x:v>
      </x:c>
      <x:c r="X9" t="n">
        <x:f>W9-V9</x:f>
        <x:v>0</x:v>
      </x:c>
      <x:c r="Y9" t="n">
        <x:v>0</x:v>
      </x:c>
      <x:c r="Z9" t="n">
        <x:v>0</x:v>
      </x:c>
      <x:c r="AA9" t="n">
        <x:f>Z9-Y9</x:f>
        <x:v>0</x:v>
      </x:c>
    </x:row>
    <x:row r="10">
      <x:c r="A10" t="n">
        <x:v>164</x:v>
      </x:c>
      <x:c r="B10" t="n">
        <x:v>2</x:v>
      </x:c>
      <x:c r="C10" t="str">
        <x:v>Text-in-General</x:v>
      </x:c>
      <x:c r="D10" t="n">
        <x:v>1</x:v>
      </x:c>
      <x:c r="E10" t="n">
        <x:v>1</x:v>
      </x:c>
      <x:c r="F10" t="n">
        <x:f>E10-D10</x:f>
        <x:v>0</x:v>
      </x:c>
      <x:c r="G10" t="n">
        <x:v>1</x:v>
      </x:c>
      <x:c r="H10" t="n">
        <x:v>1</x:v>
      </x:c>
      <x:c r="I10" t="n">
        <x:f>H10-G10</x:f>
        <x:v>0</x:v>
      </x:c>
      <x:c r="J10" t="n">
        <x:v>1</x:v>
      </x:c>
      <x:c r="K10" t="n">
        <x:v>1</x:v>
      </x:c>
      <x:c r="L10" t="n">
        <x:f>K10-J10</x:f>
        <x:v>0</x:v>
      </x:c>
      <x:c r="M10" t="n">
        <x:v>1</x:v>
      </x:c>
      <x:c r="N10" t="n">
        <x:v>0</x:v>
      </x:c>
      <x:c r="O10" t="n">
        <x:f>N10-M10</x:f>
        <x:v>-1</x:v>
      </x:c>
      <x:c r="P10" t="n">
        <x:v>0</x:v>
      </x:c>
      <x:c r="Q10" t="n">
        <x:v>0</x:v>
      </x:c>
      <x:c r="R10" t="n">
        <x:f>Q10-P10</x:f>
        <x:v>0</x:v>
      </x:c>
      <x:c r="S10" t="n">
        <x:v>0</x:v>
      </x:c>
      <x:c r="T10" t="n">
        <x:v>0</x:v>
      </x:c>
      <x:c r="U10" t="n">
        <x:f>T10-S10</x:f>
        <x:v>0</x:v>
      </x:c>
      <x:c r="V10" t="n">
        <x:v>1</x:v>
      </x:c>
      <x:c r="W10" t="n">
        <x:v>1</x:v>
      </x:c>
      <x:c r="X10" t="n">
        <x:f>W10-V10</x:f>
        <x:v>0</x:v>
      </x:c>
      <x:c r="Y10" t="n">
        <x:v>0.3333333333</x:v>
      </x:c>
      <x:c r="Z10" t="n">
        <x:v>0</x:v>
      </x:c>
      <x:c r="AA10" t="n">
        <x:f>Z10-Y10</x:f>
        <x:v>-0.3333333333</x:v>
      </x:c>
    </x:row>
    <x:row r="11">
      <x:c r="A11" t="n">
        <x:v>168</x:v>
      </x:c>
      <x:c r="B11" t="n">
        <x:v>1</x:v>
      </x:c>
      <x:c r="C11" t="str">
        <x:v>Text-in-Chart</x:v>
      </x:c>
      <x:c r="D11" t="n">
        <x:v>1</x:v>
      </x:c>
      <x:c r="E11" t="n">
        <x:v>1</x:v>
      </x:c>
      <x:c r="F11" t="n">
        <x:f>E11-D11</x:f>
        <x:v>0</x:v>
      </x:c>
      <x:c r="G11" t="n">
        <x:v>1</x:v>
      </x:c>
      <x:c r="H11" t="n">
        <x:v>1</x:v>
      </x:c>
      <x:c r="I11" t="n">
        <x:f>H11-G11</x:f>
        <x:v>0</x:v>
      </x:c>
      <x:c r="J11" t="n">
        <x:v>0</x:v>
      </x:c>
      <x:c r="K11" t="n">
        <x:v>0</x:v>
      </x:c>
      <x:c r="L11" t="n">
        <x:f>K11-J11</x:f>
        <x:v>0</x:v>
      </x:c>
      <x:c r="M11" t="n">
        <x:v>0</x:v>
      </x:c>
      <x:c r="N11" t="n">
        <x:v>0</x:v>
      </x:c>
      <x:c r="O11" t="n">
        <x:f>N11-M11</x:f>
        <x:v>0</x:v>
      </x:c>
      <x:c r="P11" t="n">
        <x:v>0</x:v>
      </x:c>
      <x:c r="Q11" t="n">
        <x:v>0</x:v>
      </x:c>
      <x:c r="R11" t="n">
        <x:f>Q11-P11</x:f>
        <x:v>0</x:v>
      </x:c>
      <x:c r="S11" t="n">
        <x:v>0</x:v>
      </x:c>
      <x:c r="T11" t="n">
        <x:v>0</x:v>
      </x:c>
      <x:c r="U11" t="n">
        <x:f>T11-S11</x:f>
        <x:v>0</x:v>
      </x:c>
      <x:c r="V11" t="n">
        <x:v>1</x:v>
      </x:c>
      <x:c r="W11" t="n">
        <x:v>1</x:v>
      </x:c>
      <x:c r="X11" t="n">
        <x:f>W11-V11</x:f>
        <x:v>0</x:v>
      </x:c>
      <x:c r="Y11" t="n">
        <x:v>0</x:v>
      </x:c>
      <x:c r="Z11" t="n">
        <x:v>0</x:v>
      </x:c>
      <x:c r="AA11" t="n">
        <x:f>Z11-Y11</x:f>
        <x:v>0</x:v>
      </x:c>
    </x:row>
    <x:row r="12">
      <x:c r="A12" t="n">
        <x:v>238</x:v>
      </x:c>
      <x:c r="B12" t="n">
        <x:v>1</x:v>
      </x:c>
      <x:c r="C12" t="str">
        <x:v>Text-in-Chart</x:v>
      </x:c>
      <x:c r="D12" t="n">
        <x:v>1</x:v>
      </x:c>
      <x:c r="E12" t="n">
        <x:v>1</x:v>
      </x:c>
      <x:c r="F12" t="n">
        <x:f>E12-D12</x:f>
        <x:v>0</x:v>
      </x:c>
      <x:c r="G12" t="n">
        <x:v>1</x:v>
      </x:c>
      <x:c r="H12" t="n">
        <x:v>1</x:v>
      </x:c>
      <x:c r="I12" t="n">
        <x:f>H12-G12</x:f>
        <x:v>0</x:v>
      </x:c>
      <x:c r="J12" t="n">
        <x:v>0</x:v>
      </x:c>
      <x:c r="K12" t="n">
        <x:v>0</x:v>
      </x:c>
      <x:c r="L12" t="n">
        <x:f>K12-J12</x:f>
        <x:v>0</x:v>
      </x:c>
      <x:c r="M12" t="n">
        <x:v>0</x:v>
      </x:c>
      <x:c r="N12" t="n">
        <x:v>0</x:v>
      </x:c>
      <x:c r="O12" t="n">
        <x:f>N12-M12</x:f>
        <x:v>0</x:v>
      </x:c>
      <x:c r="P12" t="n">
        <x:v>0</x:v>
      </x:c>
      <x:c r="Q12" t="n">
        <x:v>0</x:v>
      </x:c>
      <x:c r="R12" t="n">
        <x:f>Q12-P12</x:f>
        <x:v>0</x:v>
      </x:c>
      <x:c r="S12" t="n">
        <x:v>0</x:v>
      </x:c>
      <x:c r="T12" t="n">
        <x:v>0</x:v>
      </x:c>
      <x:c r="U12" t="n">
        <x:f>T12-S12</x:f>
        <x:v>0</x:v>
      </x:c>
      <x:c r="V12" t="n">
        <x:v>1</x:v>
      </x:c>
      <x:c r="W12" t="n">
        <x:v>1</x:v>
      </x:c>
      <x:c r="X12" t="n">
        <x:f>W12-V12</x:f>
        <x:v>0</x:v>
      </x:c>
      <x:c r="Y12" t="n">
        <x:v>0</x:v>
      </x:c>
      <x:c r="Z12" t="n">
        <x:v>0</x:v>
      </x:c>
      <x:c r="AA12" t="n">
        <x:f>Z12-Y12</x:f>
        <x:v>0</x:v>
      </x:c>
    </x:row>
    <x:row r="13">
      <x:c r="A13" t="n">
        <x:v>244</x:v>
      </x:c>
      <x:c r="B13" t="n">
        <x:v>4</x:v>
      </x:c>
      <x:c r="C13" t="str">
        <x:v>Number-in-General</x:v>
      </x:c>
      <x:c r="D13" t="n">
        <x:v>0</x:v>
      </x:c>
      <x:c r="E13" t="n">
        <x:v>0</x:v>
      </x:c>
      <x:c r="F13" t="n">
        <x:f>E13-D13</x:f>
        <x:v>0</x:v>
      </x:c>
      <x:c r="G13" t="n">
        <x:v>0</x:v>
      </x:c>
      <x:c r="H13" t="n">
        <x:v>0</x:v>
      </x:c>
      <x:c r="I13" t="n">
        <x:f>H13-G13</x:f>
        <x:v>0</x:v>
      </x:c>
      <x:c r="J13" t="n">
        <x:v>0</x:v>
      </x:c>
      <x:c r="K13" t="n">
        <x:v>0</x:v>
      </x:c>
      <x:c r="L13" t="n">
        <x:f>K13-J13</x:f>
        <x:v>0</x:v>
      </x:c>
      <x:c r="M13" t="n">
        <x:v>0</x:v>
      </x:c>
      <x:c r="N13" t="n">
        <x:v>0</x:v>
      </x:c>
      <x:c r="O13" t="n">
        <x:f>N13-M13</x:f>
        <x:v>0</x:v>
      </x:c>
      <x:c r="P13" t="n">
        <x:v>0</x:v>
      </x:c>
      <x:c r="Q13" t="n">
        <x:v>0</x:v>
      </x:c>
      <x:c r="R13" t="n">
        <x:f>Q13-P13</x:f>
        <x:v>0</x:v>
      </x:c>
      <x:c r="S13" t="n">
        <x:v>0</x:v>
      </x:c>
      <x:c r="T13" t="n">
        <x:v>0</x:v>
      </x:c>
      <x:c r="U13" t="n">
        <x:f>T13-S13</x:f>
        <x:v>0</x:v>
      </x:c>
      <x:c r="V13" t="n">
        <x:v>0</x:v>
      </x:c>
      <x:c r="W13" t="n">
        <x:v>0</x:v>
      </x:c>
      <x:c r="X13" t="n">
        <x:f>W13-V13</x:f>
        <x:v>0</x:v>
      </x:c>
      <x:c r="Y13" t="n">
        <x:v>0</x:v>
      </x:c>
      <x:c r="Z13" t="n">
        <x:v>0</x:v>
      </x:c>
      <x:c r="AA13" t="n">
        <x:f>Z13-Y13</x:f>
        <x:v>0</x:v>
      </x:c>
    </x:row>
    <x:row r="14">
      <x:c r="A14" t="n">
        <x:v>254</x:v>
      </x:c>
      <x:c r="B14" t="n">
        <x:v>1</x:v>
      </x:c>
      <x:c r="C14" t="str">
        <x:v>Text-in-Chart</x:v>
      </x:c>
      <x:c r="D14" t="n">
        <x:v>1</x:v>
      </x:c>
      <x:c r="E14" t="n">
        <x:v>1</x:v>
      </x:c>
      <x:c r="F14" t="n">
        <x:f>E14-D14</x:f>
        <x:v>0</x:v>
      </x:c>
      <x:c r="G14" t="n">
        <x:v>1</x:v>
      </x:c>
      <x:c r="H14" t="n">
        <x:v>1</x:v>
      </x:c>
      <x:c r="I14" t="n">
        <x:f>H14-G14</x:f>
        <x:v>0</x:v>
      </x:c>
      <x:c r="J14" t="n">
        <x:v>0</x:v>
      </x:c>
      <x:c r="K14" t="n">
        <x:v>0</x:v>
      </x:c>
      <x:c r="L14" t="n">
        <x:f>K14-J14</x:f>
        <x:v>0</x:v>
      </x:c>
      <x:c r="M14" t="n">
        <x:v>0</x:v>
      </x:c>
      <x:c r="N14" t="n">
        <x:v>0</x:v>
      </x:c>
      <x:c r="O14" t="n">
        <x:f>N14-M14</x:f>
        <x:v>0</x:v>
      </x:c>
      <x:c r="P14" t="n">
        <x:v>0</x:v>
      </x:c>
      <x:c r="Q14" t="n">
        <x:v>0</x:v>
      </x:c>
      <x:c r="R14" t="n">
        <x:f>Q14-P14</x:f>
        <x:v>0</x:v>
      </x:c>
      <x:c r="S14" t="n">
        <x:v>0</x:v>
      </x:c>
      <x:c r="T14" t="n">
        <x:v>0</x:v>
      </x:c>
      <x:c r="U14" t="n">
        <x:f>T14-S14</x:f>
        <x:v>0</x:v>
      </x:c>
      <x:c r="V14" t="n">
        <x:v>1</x:v>
      </x:c>
      <x:c r="W14" t="n">
        <x:v>1</x:v>
      </x:c>
      <x:c r="X14" t="n">
        <x:f>W14-V14</x:f>
        <x:v>0</x:v>
      </x:c>
      <x:c r="Y14" t="n">
        <x:v>0</x:v>
      </x:c>
      <x:c r="Z14" t="n">
        <x:v>0</x:v>
      </x:c>
      <x:c r="AA14" t="n">
        <x:f>Z14-Y14</x:f>
        <x:v>0</x:v>
      </x:c>
    </x:row>
    <x:row r="15">
      <x:c r="A15" t="n">
        <x:v>270</x:v>
      </x:c>
      <x:c r="B15" t="n">
        <x:v>1</x:v>
      </x:c>
      <x:c r="C15" t="str">
        <x:v>Text-in-Chart</x:v>
      </x:c>
      <x:c r="D15" t="n">
        <x:v>1</x:v>
      </x:c>
      <x:c r="E15" t="n">
        <x:v>0</x:v>
      </x:c>
      <x:c r="F15" t="n">
        <x:f>E15-D15</x:f>
        <x:v>-1</x:v>
      </x:c>
      <x:c r="G15" t="n">
        <x:v>1</x:v>
      </x:c>
      <x:c r="H15" t="n">
        <x:v>1</x:v>
      </x:c>
      <x:c r="I15" t="n">
        <x:f>H15-G15</x:f>
        <x:v>0</x:v>
      </x:c>
      <x:c r="J15" t="n">
        <x:v>0</x:v>
      </x:c>
      <x:c r="K15" t="n">
        <x:v>0</x:v>
      </x:c>
      <x:c r="L15" t="n">
        <x:f>K15-J15</x:f>
        <x:v>0</x:v>
      </x:c>
      <x:c r="M15" t="n">
        <x:v>0</x:v>
      </x:c>
      <x:c r="N15" t="n">
        <x:v>0</x:v>
      </x:c>
      <x:c r="O15" t="n">
        <x:f>N15-M15</x:f>
        <x:v>0</x:v>
      </x:c>
      <x:c r="P15" t="n">
        <x:v>0</x:v>
      </x:c>
      <x:c r="Q15" t="n">
        <x:v>0</x:v>
      </x:c>
      <x:c r="R15" t="n">
        <x:f>Q15-P15</x:f>
        <x:v>0</x:v>
      </x:c>
      <x:c r="S15" t="n">
        <x:v>0</x:v>
      </x:c>
      <x:c r="T15" t="n">
        <x:v>0</x:v>
      </x:c>
      <x:c r="U15" t="n">
        <x:f>T15-S15</x:f>
        <x:v>0</x:v>
      </x:c>
      <x:c r="V15" t="n">
        <x:v>1</x:v>
      </x:c>
      <x:c r="W15" t="n">
        <x:v>1</x:v>
      </x:c>
      <x:c r="X15" t="n">
        <x:f>W15-V15</x:f>
        <x:v>0</x:v>
      </x:c>
      <x:c r="Y15" t="n">
        <x:v>0</x:v>
      </x:c>
      <x:c r="Z15" t="n">
        <x:v>0</x:v>
      </x:c>
      <x:c r="AA15" t="n">
        <x:f>Z15-Y15</x:f>
        <x:v>0</x:v>
      </x:c>
    </x:row>
    <x:row r="16">
      <x:c r="A16" t="n">
        <x:v>279</x:v>
      </x:c>
      <x:c r="B16" t="n">
        <x:v>4</x:v>
      </x:c>
      <x:c r="C16" t="str">
        <x:v>Number-in-General</x:v>
      </x:c>
      <x:c r="D16" t="n">
        <x:v>1</x:v>
      </x:c>
      <x:c r="E16" t="n">
        <x:v>1</x:v>
      </x:c>
      <x:c r="F16" t="n">
        <x:f>E16-D16</x:f>
        <x:v>0</x:v>
      </x:c>
      <x:c r="G16" t="n">
        <x:v>1</x:v>
      </x:c>
      <x:c r="H16" t="n">
        <x:v>1</x:v>
      </x:c>
      <x:c r="I16" t="n">
        <x:f>H16-G16</x:f>
        <x:v>0</x:v>
      </x:c>
      <x:c r="J16" t="n">
        <x:v>0</x:v>
      </x:c>
      <x:c r="K16" t="n">
        <x:v>0</x:v>
      </x:c>
      <x:c r="L16" t="n">
        <x:f>K16-J16</x:f>
        <x:v>0</x:v>
      </x:c>
      <x:c r="M16" t="n">
        <x:v>0</x:v>
      </x:c>
      <x:c r="N16" t="n">
        <x:v>0</x:v>
      </x:c>
      <x:c r="O16" t="n">
        <x:f>N16-M16</x:f>
        <x:v>0</x:v>
      </x:c>
      <x:c r="P16" t="n">
        <x:v>0</x:v>
      </x:c>
      <x:c r="Q16" t="n">
        <x:v>0</x:v>
      </x:c>
      <x:c r="R16" t="n">
        <x:f>Q16-P16</x:f>
        <x:v>0</x:v>
      </x:c>
      <x:c r="S16" t="n">
        <x:v>0</x:v>
      </x:c>
      <x:c r="T16" t="n">
        <x:v>0</x:v>
      </x:c>
      <x:c r="U16" t="n">
        <x:f>T16-S16</x:f>
        <x:v>0</x:v>
      </x:c>
      <x:c r="V16" t="n">
        <x:v>1</x:v>
      </x:c>
      <x:c r="W16" t="n">
        <x:v>1</x:v>
      </x:c>
      <x:c r="X16" t="n">
        <x:f>W16-V16</x:f>
        <x:v>0</x:v>
      </x:c>
      <x:c r="Y16" t="n">
        <x:v>0</x:v>
      </x:c>
      <x:c r="Z16" t="n">
        <x:v>0</x:v>
      </x:c>
      <x:c r="AA16" t="n">
        <x:f>Z16-Y16</x:f>
        <x:v>0</x:v>
      </x:c>
    </x:row>
    <x:row r="17">
      <x:c r="A17" t="n">
        <x:v>291</x:v>
      </x:c>
      <x:c r="B17" t="n">
        <x:v>3</x:v>
      </x:c>
      <x:c r="C17" t="str">
        <x:v>Number-in-Chart</x:v>
      </x:c>
      <x:c r="D17" t="n">
        <x:v>0</x:v>
      </x:c>
      <x:c r="E17" t="n">
        <x:v>0</x:v>
      </x:c>
      <x:c r="F17" t="n">
        <x:f>E17-D17</x:f>
        <x:v>0</x:v>
      </x:c>
      <x:c r="G17" t="n">
        <x:v>0</x:v>
      </x:c>
      <x:c r="H17" t="n">
        <x:v>0</x:v>
      </x:c>
      <x:c r="I17" t="n">
        <x:f>H17-G17</x:f>
        <x:v>0</x:v>
      </x:c>
      <x:c r="J17" t="n">
        <x:v>0</x:v>
      </x:c>
      <x:c r="K17" t="n">
        <x:v>0</x:v>
      </x:c>
      <x:c r="L17" t="n">
        <x:f>K17-J17</x:f>
        <x:v>0</x:v>
      </x:c>
      <x:c r="M17" t="n">
        <x:v>0</x:v>
      </x:c>
      <x:c r="N17" t="n">
        <x:v>0</x:v>
      </x:c>
      <x:c r="O17" t="n">
        <x:f>N17-M17</x:f>
        <x:v>0</x:v>
      </x:c>
      <x:c r="P17" t="n">
        <x:v>0</x:v>
      </x:c>
      <x:c r="Q17" t="n">
        <x:v>0</x:v>
      </x:c>
      <x:c r="R17" t="n">
        <x:f>Q17-P17</x:f>
        <x:v>0</x:v>
      </x:c>
      <x:c r="S17" t="n">
        <x:v>0</x:v>
      </x:c>
      <x:c r="T17" t="n">
        <x:v>0</x:v>
      </x:c>
      <x:c r="U17" t="n">
        <x:f>T17-S17</x:f>
        <x:v>0</x:v>
      </x:c>
      <x:c r="V17" t="n">
        <x:v>0</x:v>
      </x:c>
      <x:c r="W17" t="n">
        <x:v>0</x:v>
      </x:c>
      <x:c r="X17" t="n">
        <x:f>W17-V17</x:f>
        <x:v>0</x:v>
      </x:c>
      <x:c r="Y17" t="n">
        <x:v>0</x:v>
      </x:c>
      <x:c r="Z17" t="n">
        <x:v>0</x:v>
      </x:c>
      <x:c r="AA17" t="n">
        <x:f>Z17-Y17</x:f>
        <x:v>0</x:v>
      </x:c>
    </x:row>
    <x:row r="18">
      <x:c r="A18" t="n">
        <x:v>324</x:v>
      </x:c>
      <x:c r="B18" t="n">
        <x:v>3</x:v>
      </x:c>
      <x:c r="C18" t="str">
        <x:v>Number-in-Chart</x:v>
      </x:c>
      <x:c r="D18" t="n">
        <x:v>1</x:v>
      </x:c>
      <x:c r="E18" t="n">
        <x:v>1</x:v>
      </x:c>
      <x:c r="F18" t="n">
        <x:f>E18-D18</x:f>
        <x:v>0</x:v>
      </x:c>
      <x:c r="G18" t="n">
        <x:v>1</x:v>
      </x:c>
      <x:c r="H18" t="n">
        <x:v>1</x:v>
      </x:c>
      <x:c r="I18" t="n">
        <x:f>H18-G18</x:f>
        <x:v>0</x:v>
      </x:c>
      <x:c r="J18" t="n">
        <x:v>0</x:v>
      </x:c>
      <x:c r="K18" t="n">
        <x:v>0</x:v>
      </x:c>
      <x:c r="L18" t="n">
        <x:f>K18-J18</x:f>
        <x:v>0</x:v>
      </x:c>
      <x:c r="M18" t="n">
        <x:v>0</x:v>
      </x:c>
      <x:c r="N18" t="n">
        <x:v>0</x:v>
      </x:c>
      <x:c r="O18" t="n">
        <x:f>N18-M18</x:f>
        <x:v>0</x:v>
      </x:c>
      <x:c r="P18" t="n">
        <x:v>1</x:v>
      </x:c>
      <x:c r="Q18" t="n">
        <x:v>0</x:v>
      </x:c>
      <x:c r="R18" t="n">
        <x:f>Q18-P18</x:f>
        <x:v>-1</x:v>
      </x:c>
      <x:c r="S18" t="n">
        <x:v>0</x:v>
      </x:c>
      <x:c r="T18" t="n">
        <x:v>0</x:v>
      </x:c>
      <x:c r="U18" t="n">
        <x:f>T18-S18</x:f>
        <x:v>0</x:v>
      </x:c>
      <x:c r="V18" t="n">
        <x:v>1</x:v>
      </x:c>
      <x:c r="W18" t="n">
        <x:v>1</x:v>
      </x:c>
      <x:c r="X18" t="n">
        <x:f>W18-V18</x:f>
        <x:v>0</x:v>
      </x:c>
      <x:c r="Y18" t="n">
        <x:v>0.3333333333</x:v>
      </x:c>
      <x:c r="Z18" t="n">
        <x:v>0</x:v>
      </x:c>
      <x:c r="AA18" t="n">
        <x:f>Z18-Y18</x:f>
        <x:v>-0.3333333333</x:v>
      </x:c>
    </x:row>
    <x:row r="19">
      <x:c r="A19" t="n">
        <x:v>346</x:v>
      </x:c>
      <x:c r="B19" t="n">
        <x:v>4</x:v>
      </x:c>
      <x:c r="C19" t="str">
        <x:v>Number-in-General</x:v>
      </x:c>
      <x:c r="D19" t="n">
        <x:v>1</x:v>
      </x:c>
      <x:c r="E19" t="n">
        <x:v>1</x:v>
      </x:c>
      <x:c r="F19" t="n">
        <x:f>E19-D19</x:f>
        <x:v>0</x:v>
      </x:c>
      <x:c r="G19" t="n">
        <x:v>0</x:v>
      </x:c>
      <x:c r="H19" t="n">
        <x:v>1</x:v>
      </x:c>
      <x:c r="I19" t="n">
        <x:f>H19-G19</x:f>
        <x:v>1</x:v>
      </x:c>
      <x:c r="J19" t="n">
        <x:v>1</x:v>
      </x:c>
      <x:c r="K19" t="n">
        <x:v>0</x:v>
      </x:c>
      <x:c r="L19" t="n">
        <x:f>K19-J19</x:f>
        <x:v>-1</x:v>
      </x:c>
      <x:c r="M19" t="n">
        <x:v>0</x:v>
      </x:c>
      <x:c r="N19" t="n">
        <x:v>0</x:v>
      </x:c>
      <x:c r="O19" t="n">
        <x:f>N19-M19</x:f>
        <x:v>0</x:v>
      </x:c>
      <x:c r="P19" t="n">
        <x:v>0</x:v>
      </x:c>
      <x:c r="Q19" t="n">
        <x:v>0</x:v>
      </x:c>
      <x:c r="R19" t="n">
        <x:f>Q19-P19</x:f>
        <x:v>0</x:v>
      </x:c>
      <x:c r="S19" t="n">
        <x:v>0</x:v>
      </x:c>
      <x:c r="T19" t="n">
        <x:v>0</x:v>
      </x:c>
      <x:c r="U19" t="n">
        <x:f>T19-S19</x:f>
        <x:v>0</x:v>
      </x:c>
      <x:c r="V19" t="n">
        <x:v>0</x:v>
      </x:c>
      <x:c r="W19" t="n">
        <x:v>1</x:v>
      </x:c>
      <x:c r="X19" t="n">
        <x:f>W19-V19</x:f>
        <x:v>1</x:v>
      </x:c>
      <x:c r="Y19" t="n">
        <x:v>0</x:v>
      </x:c>
      <x:c r="Z19" t="n">
        <x:v>0</x:v>
      </x:c>
      <x:c r="AA19" t="n">
        <x:f>Z19-Y19</x:f>
        <x:v>0</x:v>
      </x:c>
    </x:row>
    <x:row r="20">
      <x:c r="A20" t="n">
        <x:v>397</x:v>
      </x:c>
      <x:c r="B20" t="n">
        <x:v>1</x:v>
      </x:c>
      <x:c r="C20" t="str">
        <x:v>Text-in-Chart</x:v>
      </x:c>
      <x:c r="D20" t="n">
        <x:v>1</x:v>
      </x:c>
      <x:c r="E20" t="n">
        <x:v>1</x:v>
      </x:c>
      <x:c r="F20" t="n">
        <x:f>E20-D20</x:f>
        <x:v>0</x:v>
      </x:c>
      <x:c r="G20" t="n">
        <x:v>1</x:v>
      </x:c>
      <x:c r="H20" t="n">
        <x:v>1</x:v>
      </x:c>
      <x:c r="I20" t="n">
        <x:f>H20-G20</x:f>
        <x:v>0</x:v>
      </x:c>
      <x:c r="J20" t="n">
        <x:v>0</x:v>
      </x:c>
      <x:c r="K20" t="n">
        <x:v>0</x:v>
      </x:c>
      <x:c r="L20" t="n">
        <x:f>K20-J20</x:f>
        <x:v>0</x:v>
      </x:c>
      <x:c r="M20" t="n">
        <x:v>0</x:v>
      </x:c>
      <x:c r="N20" t="n">
        <x:v>0</x:v>
      </x:c>
      <x:c r="O20" t="n">
        <x:f>N20-M20</x:f>
        <x:v>0</x:v>
      </x:c>
      <x:c r="P20" t="n">
        <x:v>0</x:v>
      </x:c>
      <x:c r="Q20" t="n">
        <x:v>0</x:v>
      </x:c>
      <x:c r="R20" t="n">
        <x:f>Q20-P20</x:f>
        <x:v>0</x:v>
      </x:c>
      <x:c r="S20" t="n">
        <x:v>0</x:v>
      </x:c>
      <x:c r="T20" t="n">
        <x:v>0</x:v>
      </x:c>
      <x:c r="U20" t="n">
        <x:f>T20-S20</x:f>
        <x:v>0</x:v>
      </x:c>
      <x:c r="V20" t="n">
        <x:v>1</x:v>
      </x:c>
      <x:c r="W20" t="n">
        <x:v>1</x:v>
      </x:c>
      <x:c r="X20" t="n">
        <x:f>W20-V20</x:f>
        <x:v>0</x:v>
      </x:c>
      <x:c r="Y20" t="n">
        <x:v>0</x:v>
      </x:c>
      <x:c r="Z20" t="n">
        <x:v>0</x:v>
      </x:c>
      <x:c r="AA20" t="n">
        <x:f>Z20-Y20</x:f>
        <x:v>0</x:v>
      </x:c>
    </x:row>
    <x:row r="21">
      <x:c r="A21" t="n">
        <x:v>407</x:v>
      </x:c>
      <x:c r="B21" t="n">
        <x:v>2</x:v>
      </x:c>
      <x:c r="C21" t="str">
        <x:v>Text-in-General</x:v>
      </x:c>
      <x:c r="D21" t="n">
        <x:v>0</x:v>
      </x:c>
      <x:c r="E21" t="n">
        <x:v>1</x:v>
      </x:c>
      <x:c r="F21" t="n">
        <x:f>E21-D21</x:f>
        <x:v>1</x:v>
      </x:c>
      <x:c r="G21" t="n">
        <x:v>1</x:v>
      </x:c>
      <x:c r="H21" t="n">
        <x:v>1</x:v>
      </x:c>
      <x:c r="I21" t="n">
        <x:f>H21-G21</x:f>
        <x:v>0</x:v>
      </x:c>
      <x:c r="J21" t="n">
        <x:v>0</x:v>
      </x:c>
      <x:c r="K21" t="n">
        <x:v>1</x:v>
      </x:c>
      <x:c r="L21" t="n">
        <x:f>K21-J21</x:f>
        <x:v>1</x:v>
      </x:c>
      <x:c r="M21" t="n">
        <x:v>0</x:v>
      </x:c>
      <x:c r="N21" t="n">
        <x:v>0</x:v>
      </x:c>
      <x:c r="O21" t="n">
        <x:f>N21-M21</x:f>
        <x:v>0</x:v>
      </x:c>
      <x:c r="P21" t="n">
        <x:v>0</x:v>
      </x:c>
      <x:c r="Q21" t="n">
        <x:v>0</x:v>
      </x:c>
      <x:c r="R21" t="n">
        <x:f>Q21-P21</x:f>
        <x:v>0</x:v>
      </x:c>
      <x:c r="S21" t="n">
        <x:v>0</x:v>
      </x:c>
      <x:c r="T21" t="n">
        <x:v>0</x:v>
      </x:c>
      <x:c r="U21" t="n">
        <x:f>T21-S21</x:f>
        <x:v>0</x:v>
      </x:c>
      <x:c r="V21" t="n">
        <x:v>1</x:v>
      </x:c>
      <x:c r="W21" t="n">
        <x:v>1</x:v>
      </x:c>
      <x:c r="X21" t="n">
        <x:f>W21-V21</x:f>
        <x:v>0</x:v>
      </x:c>
      <x:c r="Y21" t="n">
        <x:v>0</x:v>
      </x:c>
      <x:c r="Z21" t="n">
        <x:v>0</x:v>
      </x:c>
      <x:c r="AA21" t="n">
        <x:f>Z21-Y21</x:f>
        <x:v>0</x:v>
      </x:c>
    </x:row>
    <x:row r="22">
      <x:c r="A22" t="n">
        <x:v>436</x:v>
      </x:c>
      <x:c r="B22" t="n">
        <x:v>4</x:v>
      </x:c>
      <x:c r="C22" t="str">
        <x:v>Number-in-General</x:v>
      </x:c>
      <x:c r="D22" t="n">
        <x:v>0</x:v>
      </x:c>
      <x:c r="E22" t="n">
        <x:v>1</x:v>
      </x:c>
      <x:c r="F22" t="n">
        <x:f>E22-D22</x:f>
        <x:v>1</x:v>
      </x:c>
      <x:c r="G22" t="n">
        <x:v>1</x:v>
      </x:c>
      <x:c r="H22" t="n">
        <x:v>1</x:v>
      </x:c>
      <x:c r="I22" t="n">
        <x:f>H22-G22</x:f>
        <x:v>0</x:v>
      </x:c>
      <x:c r="J22" t="n">
        <x:v>0</x:v>
      </x:c>
      <x:c r="K22" t="n">
        <x:v>1</x:v>
      </x:c>
      <x:c r="L22" t="n">
        <x:f>K22-J22</x:f>
        <x:v>1</x:v>
      </x:c>
      <x:c r="M22" t="n">
        <x:v>0</x:v>
      </x:c>
      <x:c r="N22" t="n">
        <x:v>0</x:v>
      </x:c>
      <x:c r="O22" t="n">
        <x:f>N22-M22</x:f>
        <x:v>0</x:v>
      </x:c>
      <x:c r="P22" t="n">
        <x:v>0</x:v>
      </x:c>
      <x:c r="Q22" t="n">
        <x:v>0</x:v>
      </x:c>
      <x:c r="R22" t="n">
        <x:f>Q22-P22</x:f>
        <x:v>0</x:v>
      </x:c>
      <x:c r="S22" t="n">
        <x:v>0</x:v>
      </x:c>
      <x:c r="T22" t="n">
        <x:v>0</x:v>
      </x:c>
      <x:c r="U22" t="n">
        <x:f>T22-S22</x:f>
        <x:v>0</x:v>
      </x:c>
      <x:c r="V22" t="n">
        <x:v>0</x:v>
      </x:c>
      <x:c r="W22" t="n">
        <x:v>0</x:v>
      </x:c>
      <x:c r="X22" t="n">
        <x:f>W22-V22</x:f>
        <x:v>0</x:v>
      </x:c>
      <x:c r="Y22" t="n">
        <x:v>0</x:v>
      </x:c>
      <x:c r="Z22" t="n">
        <x:v>0</x:v>
      </x:c>
      <x:c r="AA22" t="n">
        <x:f>Z22-Y22</x:f>
        <x:v>0</x:v>
      </x:c>
    </x:row>
    <x:row r="23">
      <x:c r="A23" t="n">
        <x:v>547</x:v>
      </x:c>
      <x:c r="B23" t="n">
        <x:v>3</x:v>
      </x:c>
      <x:c r="C23" t="str">
        <x:v>Number-in-Chart</x:v>
      </x:c>
      <x:c r="D23" t="n">
        <x:v>1</x:v>
      </x:c>
      <x:c r="E23" t="n">
        <x:v>1</x:v>
      </x:c>
      <x:c r="F23" t="n">
        <x:f>E23-D23</x:f>
        <x:v>0</x:v>
      </x:c>
      <x:c r="G23" t="n">
        <x:v>0</x:v>
      </x:c>
      <x:c r="H23" t="n">
        <x:v>1</x:v>
      </x:c>
      <x:c r="I23" t="n">
        <x:f>H23-G23</x:f>
        <x:v>1</x:v>
      </x:c>
      <x:c r="J23" t="n">
        <x:v>0</x:v>
      </x:c>
      <x:c r="K23" t="n">
        <x:v>0</x:v>
      </x:c>
      <x:c r="L23" t="n">
        <x:f>K23-J23</x:f>
        <x:v>0</x:v>
      </x:c>
      <x:c r="M23" t="n">
        <x:v>0</x:v>
      </x:c>
      <x:c r="N23" t="n">
        <x:v>1</x:v>
      </x:c>
      <x:c r="O23" t="n">
        <x:f>N23-M23</x:f>
        <x:v>1</x:v>
      </x:c>
      <x:c r="P23" t="n">
        <x:v>0</x:v>
      </x:c>
      <x:c r="Q23" t="n">
        <x:v>0</x:v>
      </x:c>
      <x:c r="R23" t="n">
        <x:f>Q23-P23</x:f>
        <x:v>0</x:v>
      </x:c>
      <x:c r="S23" t="n">
        <x:v>0</x:v>
      </x:c>
      <x:c r="T23" t="n">
        <x:v>0</x:v>
      </x:c>
      <x:c r="U23" t="n">
        <x:f>T23-S23</x:f>
        <x:v>0</x:v>
      </x:c>
      <x:c r="V23" t="n">
        <x:v>1</x:v>
      </x:c>
      <x:c r="W23" t="n">
        <x:v>1</x:v>
      </x:c>
      <x:c r="X23" t="n">
        <x:f>W23-V23</x:f>
        <x:v>0</x:v>
      </x:c>
      <x:c r="Y23" t="n">
        <x:v>0</x:v>
      </x:c>
      <x:c r="Z23" t="n">
        <x:v>0.3333333333</x:v>
      </x:c>
      <x:c r="AA23" t="n">
        <x:f>Z23-Y23</x:f>
        <x:v>0.3333333333</x:v>
      </x:c>
    </x:row>
    <x:row r="24">
      <x:c r="A24" t="n">
        <x:v>554</x:v>
      </x:c>
      <x:c r="B24" t="n">
        <x:v>1</x:v>
      </x:c>
      <x:c r="C24" t="str">
        <x:v>Text-in-Chart</x:v>
      </x:c>
      <x:c r="D24" t="n">
        <x:v>1</x:v>
      </x:c>
      <x:c r="E24" t="n">
        <x:v>1</x:v>
      </x:c>
      <x:c r="F24" t="n">
        <x:f>E24-D24</x:f>
        <x:v>0</x:v>
      </x:c>
      <x:c r="G24" t="n">
        <x:v>1</x:v>
      </x:c>
      <x:c r="H24" t="n">
        <x:v>1</x:v>
      </x:c>
      <x:c r="I24" t="n">
        <x:f>H24-G24</x:f>
        <x:v>0</x:v>
      </x:c>
      <x:c r="J24" t="n">
        <x:v>1</x:v>
      </x:c>
      <x:c r="K24" t="n">
        <x:v>1</x:v>
      </x:c>
      <x:c r="L24" t="n">
        <x:f>K24-J24</x:f>
        <x:v>0</x:v>
      </x:c>
      <x:c r="M24" t="n">
        <x:v>0</x:v>
      </x:c>
      <x:c r="N24" t="n">
        <x:v>0</x:v>
      </x:c>
      <x:c r="O24" t="n">
        <x:f>N24-M24</x:f>
        <x:v>0</x:v>
      </x:c>
      <x:c r="P24" t="n">
        <x:v>0</x:v>
      </x:c>
      <x:c r="Q24" t="n">
        <x:v>0</x:v>
      </x:c>
      <x:c r="R24" t="n">
        <x:f>Q24-P24</x:f>
        <x:v>0</x:v>
      </x:c>
      <x:c r="S24" t="n">
        <x:v>0</x:v>
      </x:c>
      <x:c r="T24" t="n">
        <x:v>0</x:v>
      </x:c>
      <x:c r="U24" t="n">
        <x:f>T24-S24</x:f>
        <x:v>0</x:v>
      </x:c>
      <x:c r="V24" t="n">
        <x:v>1</x:v>
      </x:c>
      <x:c r="W24" t="n">
        <x:v>1</x:v>
      </x:c>
      <x:c r="X24" t="n">
        <x:f>W24-V24</x:f>
        <x:v>0</x:v>
      </x:c>
      <x:c r="Y24" t="n">
        <x:v>0</x:v>
      </x:c>
      <x:c r="Z24" t="n">
        <x:v>0</x:v>
      </x:c>
      <x:c r="AA24" t="n">
        <x:f>Z24-Y24</x:f>
        <x:v>0</x:v>
      </x:c>
    </x:row>
    <x:row r="25">
      <x:c r="A25" t="n">
        <x:v>608</x:v>
      </x:c>
      <x:c r="B25" t="n">
        <x:v>2</x:v>
      </x:c>
      <x:c r="C25" t="str">
        <x:v>Text-in-General</x:v>
      </x:c>
      <x:c r="D25" t="n">
        <x:v>1</x:v>
      </x:c>
      <x:c r="E25" t="n">
        <x:v>1</x:v>
      </x:c>
      <x:c r="F25" t="n">
        <x:f>E25-D25</x:f>
        <x:v>0</x:v>
      </x:c>
      <x:c r="G25" t="n">
        <x:v>1</x:v>
      </x:c>
      <x:c r="H25" t="n">
        <x:v>1</x:v>
      </x:c>
      <x:c r="I25" t="n">
        <x:f>H25-G25</x:f>
        <x:v>0</x:v>
      </x:c>
      <x:c r="J25" t="n">
        <x:v>0</x:v>
      </x:c>
      <x:c r="K25" t="n">
        <x:v>1</x:v>
      </x:c>
      <x:c r="L25" t="n">
        <x:f>K25-J25</x:f>
        <x:v>1</x:v>
      </x:c>
      <x:c r="M25" t="n">
        <x:v>0</x:v>
      </x:c>
      <x:c r="N25" t="n">
        <x:v>0</x:v>
      </x:c>
      <x:c r="O25" t="n">
        <x:f>N25-M25</x:f>
        <x:v>0</x:v>
      </x:c>
      <x:c r="P25" t="n">
        <x:v>0</x:v>
      </x:c>
      <x:c r="Q25" t="n">
        <x:v>0</x:v>
      </x:c>
      <x:c r="R25" t="n">
        <x:f>Q25-P25</x:f>
        <x:v>0</x:v>
      </x:c>
      <x:c r="S25" t="n">
        <x:v>1</x:v>
      </x:c>
      <x:c r="T25" t="n">
        <x:v>0</x:v>
      </x:c>
      <x:c r="U25" t="n">
        <x:f>T25-S25</x:f>
        <x:v>-1</x:v>
      </x:c>
      <x:c r="V25" t="n">
        <x:v>1</x:v>
      </x:c>
      <x:c r="W25" t="n">
        <x:v>1</x:v>
      </x:c>
      <x:c r="X25" t="n">
        <x:f>W25-V25</x:f>
        <x:v>0</x:v>
      </x:c>
      <x:c r="Y25" t="n">
        <x:v>0.3333333333</x:v>
      </x:c>
      <x:c r="Z25" t="n">
        <x:v>0</x:v>
      </x:c>
      <x:c r="AA25" t="n">
        <x:f>Z25-Y25</x:f>
        <x:v>-0.3333333333</x:v>
      </x:c>
    </x:row>
    <x:row r="26">
      <x:c r="A26" t="n">
        <x:v>622</x:v>
      </x:c>
      <x:c r="B26" t="n">
        <x:v>3</x:v>
      </x:c>
      <x:c r="C26" t="str">
        <x:v>Number-in-Chart</x:v>
      </x:c>
      <x:c r="D26" t="n">
        <x:v>0</x:v>
      </x:c>
      <x:c r="E26" t="n">
        <x:v>1</x:v>
      </x:c>
      <x:c r="F26" t="n">
        <x:f>E26-D26</x:f>
        <x:v>1</x:v>
      </x:c>
      <x:c r="G26" t="n">
        <x:v>1</x:v>
      </x:c>
      <x:c r="H26" t="n">
        <x:v>1</x:v>
      </x:c>
      <x:c r="I26" t="n">
        <x:f>H26-G26</x:f>
        <x:v>0</x:v>
      </x:c>
      <x:c r="J26" t="n">
        <x:v>1</x:v>
      </x:c>
      <x:c r="K26" t="n">
        <x:v>1</x:v>
      </x:c>
      <x:c r="L26" t="n">
        <x:f>K26-J26</x:f>
        <x:v>0</x:v>
      </x:c>
      <x:c r="M26" t="n">
        <x:v>0</x:v>
      </x:c>
      <x:c r="N26" t="n">
        <x:v>0</x:v>
      </x:c>
      <x:c r="O26" t="n">
        <x:f>N26-M26</x:f>
        <x:v>0</x:v>
      </x:c>
      <x:c r="P26" t="n">
        <x:v>0</x:v>
      </x:c>
      <x:c r="Q26" t="n">
        <x:v>0</x:v>
      </x:c>
      <x:c r="R26" t="n">
        <x:f>Q26-P26</x:f>
        <x:v>0</x:v>
      </x:c>
      <x:c r="S26" t="n">
        <x:v>0</x:v>
      </x:c>
      <x:c r="T26" t="n">
        <x:v>0</x:v>
      </x:c>
      <x:c r="U26" t="n">
        <x:f>T26-S26</x:f>
        <x:v>0</x:v>
      </x:c>
      <x:c r="V26" t="n">
        <x:v>1</x:v>
      </x:c>
      <x:c r="W26" t="n">
        <x:v>1</x:v>
      </x:c>
      <x:c r="X26" t="n">
        <x:f>W26-V26</x:f>
        <x:v>0</x:v>
      </x:c>
      <x:c r="Y26" t="n">
        <x:v>0</x:v>
      </x:c>
      <x:c r="Z26" t="n">
        <x:v>0</x:v>
      </x:c>
      <x:c r="AA26" t="n">
        <x:f>Z26-Y26</x:f>
        <x:v>0</x:v>
      </x:c>
    </x:row>
    <x:row r="27">
      <x:c r="A27" t="n">
        <x:v>650</x:v>
      </x:c>
      <x:c r="B27" t="n">
        <x:v>1</x:v>
      </x:c>
      <x:c r="C27" t="str">
        <x:v>Text-in-Chart</x:v>
      </x:c>
      <x:c r="D27" t="n">
        <x:v>0</x:v>
      </x:c>
      <x:c r="E27" t="n">
        <x:v>0</x:v>
      </x:c>
      <x:c r="F27" t="n">
        <x:f>E27-D27</x:f>
        <x:v>0</x:v>
      </x:c>
      <x:c r="G27" t="n">
        <x:v>1</x:v>
      </x:c>
      <x:c r="H27" t="n">
        <x:v>1</x:v>
      </x:c>
      <x:c r="I27" t="n">
        <x:f>H27-G27</x:f>
        <x:v>0</x:v>
      </x:c>
      <x:c r="J27" t="n">
        <x:v>0</x:v>
      </x:c>
      <x:c r="K27" t="n">
        <x:v>0</x:v>
      </x:c>
      <x:c r="L27" t="n">
        <x:f>K27-J27</x:f>
        <x:v>0</x:v>
      </x:c>
      <x:c r="M27" t="n">
        <x:v>0</x:v>
      </x:c>
      <x:c r="N27" t="n">
        <x:v>0</x:v>
      </x:c>
      <x:c r="O27" t="n">
        <x:f>N27-M27</x:f>
        <x:v>0</x:v>
      </x:c>
      <x:c r="P27" t="n">
        <x:v>0</x:v>
      </x:c>
      <x:c r="Q27" t="n">
        <x:v>0</x:v>
      </x:c>
      <x:c r="R27" t="n">
        <x:f>Q27-P27</x:f>
        <x:v>0</x:v>
      </x:c>
      <x:c r="S27" t="n">
        <x:v>0</x:v>
      </x:c>
      <x:c r="T27" t="n">
        <x:v>0</x:v>
      </x:c>
      <x:c r="U27" t="n">
        <x:f>T27-S27</x:f>
        <x:v>0</x:v>
      </x:c>
      <x:c r="V27" t="n">
        <x:v>0</x:v>
      </x:c>
      <x:c r="W27" t="n">
        <x:v>1</x:v>
      </x:c>
      <x:c r="X27" t="n">
        <x:f>W27-V27</x:f>
        <x:v>1</x:v>
      </x:c>
      <x:c r="Y27" t="n">
        <x:v>0</x:v>
      </x:c>
      <x:c r="Z27" t="n">
        <x:v>0</x:v>
      </x:c>
      <x:c r="AA27" t="n">
        <x:f>Z27-Y27</x:f>
        <x:v>0</x:v>
      </x:c>
    </x:row>
    <x:row r="28">
      <x:c r="A28" t="n">
        <x:v>654</x:v>
      </x:c>
      <x:c r="B28" t="n">
        <x:v>3</x:v>
      </x:c>
      <x:c r="C28" t="str">
        <x:v>Number-in-Chart</x:v>
      </x:c>
      <x:c r="D28" t="n">
        <x:v>1</x:v>
      </x:c>
      <x:c r="E28" t="n">
        <x:v>1</x:v>
      </x:c>
      <x:c r="F28" t="n">
        <x:f>E28-D28</x:f>
        <x:v>0</x:v>
      </x:c>
      <x:c r="G28" t="n">
        <x:v>1</x:v>
      </x:c>
      <x:c r="H28" t="n">
        <x:v>1</x:v>
      </x:c>
      <x:c r="I28" t="n">
        <x:f>H28-G28</x:f>
        <x:v>0</x:v>
      </x:c>
      <x:c r="J28" t="n">
        <x:v>1</x:v>
      </x:c>
      <x:c r="K28" t="n">
        <x:v>1</x:v>
      </x:c>
      <x:c r="L28" t="n">
        <x:f>K28-J28</x:f>
        <x:v>0</x:v>
      </x:c>
      <x:c r="M28" t="n">
        <x:v>0</x:v>
      </x:c>
      <x:c r="N28" t="n">
        <x:v>0</x:v>
      </x:c>
      <x:c r="O28" t="n">
        <x:f>N28-M28</x:f>
        <x:v>0</x:v>
      </x:c>
      <x:c r="P28" t="n">
        <x:v>0</x:v>
      </x:c>
      <x:c r="Q28" t="n">
        <x:v>0</x:v>
      </x:c>
      <x:c r="R28" t="n">
        <x:f>Q28-P28</x:f>
        <x:v>0</x:v>
      </x:c>
      <x:c r="S28" t="n">
        <x:v>0</x:v>
      </x:c>
      <x:c r="T28" t="n">
        <x:v>0</x:v>
      </x:c>
      <x:c r="U28" t="n">
        <x:f>T28-S28</x:f>
        <x:v>0</x:v>
      </x:c>
      <x:c r="V28" t="n">
        <x:v>0</x:v>
      </x:c>
      <x:c r="W28" t="n">
        <x:v>1</x:v>
      </x:c>
      <x:c r="X28" t="n">
        <x:f>W28-V28</x:f>
        <x:v>1</x:v>
      </x:c>
      <x:c r="Y28" t="n">
        <x:v>0</x:v>
      </x:c>
      <x:c r="Z28" t="n">
        <x:v>0</x:v>
      </x:c>
      <x:c r="AA28" t="n">
        <x:f>Z28-Y28</x:f>
        <x:v>0</x:v>
      </x:c>
    </x:row>
    <x:row r="29">
      <x:c r="A29" t="n">
        <x:v>724</x:v>
      </x:c>
      <x:c r="B29" t="n">
        <x:v>1</x:v>
      </x:c>
      <x:c r="C29" t="str">
        <x:v>Text-in-Chart</x:v>
      </x:c>
      <x:c r="D29" t="n">
        <x:v>0</x:v>
      </x:c>
      <x:c r="E29" t="n">
        <x:v>1</x:v>
      </x:c>
      <x:c r="F29" t="n">
        <x:f>E29-D29</x:f>
        <x:v>1</x:v>
      </x:c>
      <x:c r="G29" t="n">
        <x:v>1</x:v>
      </x:c>
      <x:c r="H29" t="n">
        <x:v>1</x:v>
      </x:c>
      <x:c r="I29" t="n">
        <x:f>H29-G29</x:f>
        <x:v>0</x:v>
      </x:c>
      <x:c r="J29" t="n">
        <x:v>0</x:v>
      </x:c>
      <x:c r="K29" t="n">
        <x:v>0</x:v>
      </x:c>
      <x:c r="L29" t="n">
        <x:f>K29-J29</x:f>
        <x:v>0</x:v>
      </x:c>
      <x:c r="M29" t="n">
        <x:v>0</x:v>
      </x:c>
      <x:c r="N29" t="n">
        <x:v>0</x:v>
      </x:c>
      <x:c r="O29" t="n">
        <x:f>N29-M29</x:f>
        <x:v>0</x:v>
      </x:c>
      <x:c r="P29" t="n">
        <x:v>0</x:v>
      </x:c>
      <x:c r="Q29" t="n">
        <x:v>0</x:v>
      </x:c>
      <x:c r="R29" t="n">
        <x:f>Q29-P29</x:f>
        <x:v>0</x:v>
      </x:c>
      <x:c r="S29" t="n">
        <x:v>0</x:v>
      </x:c>
      <x:c r="T29" t="n">
        <x:v>0</x:v>
      </x:c>
      <x:c r="U29" t="n">
        <x:f>T29-S29</x:f>
        <x:v>0</x:v>
      </x:c>
      <x:c r="V29" t="n">
        <x:v>0</x:v>
      </x:c>
      <x:c r="W29" t="n">
        <x:v>0</x:v>
      </x:c>
      <x:c r="X29" t="n">
        <x:f>W29-V29</x:f>
        <x:v>0</x:v>
      </x:c>
      <x:c r="Y29" t="n">
        <x:v>0</x:v>
      </x:c>
      <x:c r="Z29" t="n">
        <x:v>0</x:v>
      </x:c>
      <x:c r="AA29" t="n">
        <x:f>Z29-Y29</x:f>
        <x:v>0</x:v>
      </x:c>
    </x:row>
    <x:row r="30">
      <x:c r="A30" t="n">
        <x:v>756</x:v>
      </x:c>
      <x:c r="B30" t="n">
        <x:v>3</x:v>
      </x:c>
      <x:c r="C30" t="str">
        <x:v>Number-in-Chart</x:v>
      </x:c>
      <x:c r="D30" t="n">
        <x:v>1</x:v>
      </x:c>
      <x:c r="E30" t="n">
        <x:v>1</x:v>
      </x:c>
      <x:c r="F30" t="n">
        <x:f>E30-D30</x:f>
        <x:v>0</x:v>
      </x:c>
      <x:c r="G30" t="n">
        <x:v>1</x:v>
      </x:c>
      <x:c r="H30" t="n">
        <x:v>1</x:v>
      </x:c>
      <x:c r="I30" t="n">
        <x:f>H30-G30</x:f>
        <x:v>0</x:v>
      </x:c>
      <x:c r="J30" t="n">
        <x:v>0</x:v>
      </x:c>
      <x:c r="K30" t="n">
        <x:v>0</x:v>
      </x:c>
      <x:c r="L30" t="n">
        <x:f>K30-J30</x:f>
        <x:v>0</x:v>
      </x:c>
      <x:c r="M30" t="n">
        <x:v>0</x:v>
      </x:c>
      <x:c r="N30" t="n">
        <x:v>0</x:v>
      </x:c>
      <x:c r="O30" t="n">
        <x:f>N30-M30</x:f>
        <x:v>0</x:v>
      </x:c>
      <x:c r="P30" t="n">
        <x:v>0</x:v>
      </x:c>
      <x:c r="Q30" t="n">
        <x:v>0</x:v>
      </x:c>
      <x:c r="R30" t="n">
        <x:f>Q30-P30</x:f>
        <x:v>0</x:v>
      </x:c>
      <x:c r="S30" t="n">
        <x:v>0</x:v>
      </x:c>
      <x:c r="T30" t="n">
        <x:v>0</x:v>
      </x:c>
      <x:c r="U30" t="n">
        <x:f>T30-S30</x:f>
        <x:v>0</x:v>
      </x:c>
      <x:c r="V30" t="n">
        <x:v>1</x:v>
      </x:c>
      <x:c r="W30" t="n">
        <x:v>1</x:v>
      </x:c>
      <x:c r="X30" t="n">
        <x:f>W30-V30</x:f>
        <x:v>0</x:v>
      </x:c>
      <x:c r="Y30" t="n">
        <x:v>0</x:v>
      </x:c>
      <x:c r="Z30" t="n">
        <x:v>0</x:v>
      </x:c>
      <x:c r="AA30" t="n">
        <x:f>Z30-Y30</x:f>
        <x:v>0</x:v>
      </x:c>
    </x:row>
    <x:row r="31">
      <x:c r="A31" t="n">
        <x:v>813</x:v>
      </x:c>
      <x:c r="B31" t="n">
        <x:v>1</x:v>
      </x:c>
      <x:c r="C31" t="str">
        <x:v>Text-in-Chart</x:v>
      </x:c>
      <x:c r="D31" t="n">
        <x:v>1</x:v>
      </x:c>
      <x:c r="E31" t="n">
        <x:v>1</x:v>
      </x:c>
      <x:c r="F31" t="n">
        <x:f>E31-D31</x:f>
        <x:v>0</x:v>
      </x:c>
      <x:c r="G31" t="n">
        <x:v>1</x:v>
      </x:c>
      <x:c r="H31" t="n">
        <x:v>1</x:v>
      </x:c>
      <x:c r="I31" t="n">
        <x:f>H31-G31</x:f>
        <x:v>0</x:v>
      </x:c>
      <x:c r="J31" t="n">
        <x:v>0</x:v>
      </x:c>
      <x:c r="K31" t="n">
        <x:v>0</x:v>
      </x:c>
      <x:c r="L31" t="n">
        <x:f>K31-J31</x:f>
        <x:v>0</x:v>
      </x:c>
      <x:c r="M31" t="n">
        <x:v>0</x:v>
      </x:c>
      <x:c r="N31" t="n">
        <x:v>0</x:v>
      </x:c>
      <x:c r="O31" t="n">
        <x:f>N31-M31</x:f>
        <x:v>0</x:v>
      </x:c>
      <x:c r="P31" t="n">
        <x:v>0</x:v>
      </x:c>
      <x:c r="Q31" t="n">
        <x:v>0</x:v>
      </x:c>
      <x:c r="R31" t="n">
        <x:f>Q31-P31</x:f>
        <x:v>0</x:v>
      </x:c>
      <x:c r="S31" t="n">
        <x:v>0</x:v>
      </x:c>
      <x:c r="T31" t="n">
        <x:v>0</x:v>
      </x:c>
      <x:c r="U31" t="n">
        <x:f>T31-S31</x:f>
        <x:v>0</x:v>
      </x:c>
      <x:c r="V31" t="n">
        <x:v>1</x:v>
      </x:c>
      <x:c r="W31" t="n">
        <x:v>1</x:v>
      </x:c>
      <x:c r="X31" t="n">
        <x:f>W31-V31</x:f>
        <x:v>0</x:v>
      </x:c>
      <x:c r="Y31" t="n">
        <x:v>0</x:v>
      </x:c>
      <x:c r="Z31" t="n">
        <x:v>0</x:v>
      </x:c>
      <x:c r="AA31" t="n">
        <x:f>Z31-Y31</x:f>
        <x:v>0</x:v>
      </x:c>
    </x:row>
    <x:row r="32">
      <x:c r="A32" t="n">
        <x:v>819</x:v>
      </x:c>
      <x:c r="B32" t="n">
        <x:v>1</x:v>
      </x:c>
      <x:c r="C32" t="str">
        <x:v>Text-in-Chart</x:v>
      </x:c>
      <x:c r="D32" t="n">
        <x:v>1</x:v>
      </x:c>
      <x:c r="E32" t="n">
        <x:v>1</x:v>
      </x:c>
      <x:c r="F32" t="n">
        <x:f>E32-D32</x:f>
        <x:v>0</x:v>
      </x:c>
      <x:c r="G32" t="n">
        <x:v>1</x:v>
      </x:c>
      <x:c r="H32" t="n">
        <x:v>1</x:v>
      </x:c>
      <x:c r="I32" t="n">
        <x:f>H32-G32</x:f>
        <x:v>0</x:v>
      </x:c>
      <x:c r="J32" t="n">
        <x:v>1</x:v>
      </x:c>
      <x:c r="K32" t="n">
        <x:v>1</x:v>
      </x:c>
      <x:c r="L32" t="n">
        <x:f>K32-J32</x:f>
        <x:v>0</x:v>
      </x:c>
      <x:c r="M32" t="n">
        <x:v>0</x:v>
      </x:c>
      <x:c r="N32" t="n">
        <x:v>1</x:v>
      </x:c>
      <x:c r="O32" t="n">
        <x:f>N32-M32</x:f>
        <x:v>1</x:v>
      </x:c>
      <x:c r="P32" t="n">
        <x:v>0</x:v>
      </x:c>
      <x:c r="Q32" t="n">
        <x:v>0</x:v>
      </x:c>
      <x:c r="R32" t="n">
        <x:f>Q32-P32</x:f>
        <x:v>0</x:v>
      </x:c>
      <x:c r="S32" t="n">
        <x:v>0</x:v>
      </x:c>
      <x:c r="T32" t="n">
        <x:v>0</x:v>
      </x:c>
      <x:c r="U32" t="n">
        <x:f>T32-S32</x:f>
        <x:v>0</x:v>
      </x:c>
      <x:c r="V32" t="n">
        <x:v>1</x:v>
      </x:c>
      <x:c r="W32" t="n">
        <x:v>1</x:v>
      </x:c>
      <x:c r="X32" t="n">
        <x:f>W32-V32</x:f>
        <x:v>0</x:v>
      </x:c>
      <x:c r="Y32" t="n">
        <x:v>0</x:v>
      </x:c>
      <x:c r="Z32" t="n">
        <x:v>0.3333333333</x:v>
      </x:c>
      <x:c r="AA32" t="n">
        <x:f>Z32-Y32</x:f>
        <x:v>0.3333333333</x:v>
      </x:c>
    </x:row>
    <x:row r="33">
      <x:c r="A33" t="n">
        <x:v>820</x:v>
      </x:c>
      <x:c r="B33" t="n">
        <x:v>1</x:v>
      </x:c>
      <x:c r="C33" t="str">
        <x:v>Text-in-Chart</x:v>
      </x:c>
      <x:c r="D33" t="n">
        <x:v>0</x:v>
      </x:c>
      <x:c r="E33" t="n">
        <x:v>0</x:v>
      </x:c>
      <x:c r="F33" t="n">
        <x:f>E33-D33</x:f>
        <x:v>0</x:v>
      </x:c>
      <x:c r="G33" t="n">
        <x:v>0</x:v>
      </x:c>
      <x:c r="H33" t="n">
        <x:v>0</x:v>
      </x:c>
      <x:c r="I33" t="n">
        <x:f>H33-G33</x:f>
        <x:v>0</x:v>
      </x:c>
      <x:c r="J33" t="n">
        <x:v>0</x:v>
      </x:c>
      <x:c r="K33" t="n">
        <x:v>0</x:v>
      </x:c>
      <x:c r="L33" t="n">
        <x:f>K33-J33</x:f>
        <x:v>0</x:v>
      </x:c>
      <x:c r="M33" t="n">
        <x:v>0</x:v>
      </x:c>
      <x:c r="N33" t="n">
        <x:v>0</x:v>
      </x:c>
      <x:c r="O33" t="n">
        <x:f>N33-M33</x:f>
        <x:v>0</x:v>
      </x:c>
      <x:c r="P33" t="n">
        <x:v>0</x:v>
      </x:c>
      <x:c r="Q33" t="n">
        <x:v>0</x:v>
      </x:c>
      <x:c r="R33" t="n">
        <x:f>Q33-P33</x:f>
        <x:v>0</x:v>
      </x:c>
      <x:c r="S33" t="n">
        <x:v>0</x:v>
      </x:c>
      <x:c r="T33" t="n">
        <x:v>0</x:v>
      </x:c>
      <x:c r="U33" t="n">
        <x:f>T33-S33</x:f>
        <x:v>0</x:v>
      </x:c>
      <x:c r="V33" t="n">
        <x:v>0</x:v>
      </x:c>
      <x:c r="W33" t="n">
        <x:v>0</x:v>
      </x:c>
      <x:c r="X33" t="n">
        <x:f>W33-V33</x:f>
        <x:v>0</x:v>
      </x:c>
      <x:c r="Y33" t="n">
        <x:v>0</x:v>
      </x:c>
      <x:c r="Z33" t="n">
        <x:v>0</x:v>
      </x:c>
      <x:c r="AA33" t="n">
        <x:f>Z33-Y33</x:f>
        <x:v>0</x:v>
      </x:c>
    </x:row>
    <x:row r="34">
      <x:c r="A34" t="n">
        <x:v>855</x:v>
      </x:c>
      <x:c r="B34" t="n">
        <x:v>2</x:v>
      </x:c>
      <x:c r="C34" t="str">
        <x:v>Text-in-General</x:v>
      </x:c>
      <x:c r="D34" t="n">
        <x:v>1</x:v>
      </x:c>
      <x:c r="E34" t="n">
        <x:v>1</x:v>
      </x:c>
      <x:c r="F34" t="n">
        <x:f>E34-D34</x:f>
        <x:v>0</x:v>
      </x:c>
      <x:c r="G34" t="n">
        <x:v>1</x:v>
      </x:c>
      <x:c r="H34" t="n">
        <x:v>1</x:v>
      </x:c>
      <x:c r="I34" t="n">
        <x:f>H34-G34</x:f>
        <x:v>0</x:v>
      </x:c>
      <x:c r="J34" t="n">
        <x:v>1</x:v>
      </x:c>
      <x:c r="K34" t="n">
        <x:v>1</x:v>
      </x:c>
      <x:c r="L34" t="n">
        <x:f>K34-J34</x:f>
        <x:v>0</x:v>
      </x:c>
      <x:c r="M34" t="n">
        <x:v>1</x:v>
      </x:c>
      <x:c r="N34" t="n">
        <x:v>1</x:v>
      </x:c>
      <x:c r="O34" t="n">
        <x:f>N34-M34</x:f>
        <x:v>0</x:v>
      </x:c>
      <x:c r="P34" t="n">
        <x:v>0</x:v>
      </x:c>
      <x:c r="Q34" t="n">
        <x:v>0</x:v>
      </x:c>
      <x:c r="R34" t="n">
        <x:f>Q34-P34</x:f>
        <x:v>0</x:v>
      </x:c>
      <x:c r="S34" t="n">
        <x:v>0</x:v>
      </x:c>
      <x:c r="T34" t="n">
        <x:v>0</x:v>
      </x:c>
      <x:c r="U34" t="n">
        <x:f>T34-S34</x:f>
        <x:v>0</x:v>
      </x:c>
      <x:c r="V34" t="n">
        <x:v>1</x:v>
      </x:c>
      <x:c r="W34" t="n">
        <x:v>1</x:v>
      </x:c>
      <x:c r="X34" t="n">
        <x:f>W34-V34</x:f>
        <x:v>0</x:v>
      </x:c>
      <x:c r="Y34" t="n">
        <x:v>0.3333333333</x:v>
      </x:c>
      <x:c r="Z34" t="n">
        <x:v>0.3333333333</x:v>
      </x:c>
      <x:c r="AA34" t="n">
        <x:f>Z34-Y34</x:f>
        <x:v>0</x:v>
      </x:c>
    </x:row>
    <x:row r="35">
      <x:c r="A35" t="n">
        <x:v>880</x:v>
      </x:c>
      <x:c r="B35" t="n">
        <x:v>3</x:v>
      </x:c>
      <x:c r="C35" t="str">
        <x:v>Number-in-Chart</x:v>
      </x:c>
      <x:c r="D35" t="n">
        <x:v>1</x:v>
      </x:c>
      <x:c r="E35" t="n">
        <x:v>1</x:v>
      </x:c>
      <x:c r="F35" t="n">
        <x:f>E35-D35</x:f>
        <x:v>0</x:v>
      </x:c>
      <x:c r="G35" t="n">
        <x:v>0</x:v>
      </x:c>
      <x:c r="H35" t="n">
        <x:v>0</x:v>
      </x:c>
      <x:c r="I35" t="n">
        <x:f>H35-G35</x:f>
        <x:v>0</x:v>
      </x:c>
      <x:c r="J35" t="n">
        <x:v>0</x:v>
      </x:c>
      <x:c r="K35" t="n">
        <x:v>0</x:v>
      </x:c>
      <x:c r="L35" t="n">
        <x:f>K35-J35</x:f>
        <x:v>0</x:v>
      </x:c>
      <x:c r="M35" t="n">
        <x:v>0</x:v>
      </x:c>
      <x:c r="N35" t="n">
        <x:v>0</x:v>
      </x:c>
      <x:c r="O35" t="n">
        <x:f>N35-M35</x:f>
        <x:v>0</x:v>
      </x:c>
      <x:c r="P35" t="n">
        <x:v>0</x:v>
      </x:c>
      <x:c r="Q35" t="n">
        <x:v>0</x:v>
      </x:c>
      <x:c r="R35" t="n">
        <x:f>Q35-P35</x:f>
        <x:v>0</x:v>
      </x:c>
      <x:c r="S35" t="n">
        <x:v>0</x:v>
      </x:c>
      <x:c r="T35" t="n">
        <x:v>0</x:v>
      </x:c>
      <x:c r="U35" t="n">
        <x:f>T35-S35</x:f>
        <x:v>0</x:v>
      </x:c>
      <x:c r="V35" t="n">
        <x:v>0</x:v>
      </x:c>
      <x:c r="W35" t="n">
        <x:v>0</x:v>
      </x:c>
      <x:c r="X35" t="n">
        <x:f>W35-V35</x:f>
        <x:v>0</x:v>
      </x:c>
      <x:c r="Y35" t="n">
        <x:v>0</x:v>
      </x:c>
      <x:c r="Z35" t="n">
        <x:v>0</x:v>
      </x:c>
      <x:c r="AA35" t="n">
        <x:f>Z35-Y35</x:f>
        <x:v>0</x:v>
      </x:c>
    </x:row>
    <x:row r="36">
      <x:c r="A36" t="n">
        <x:v>885</x:v>
      </x:c>
      <x:c r="B36" t="n">
        <x:v>2</x:v>
      </x:c>
      <x:c r="C36" t="str">
        <x:v>Text-in-General</x:v>
      </x:c>
      <x:c r="D36" t="n">
        <x:v>0</x:v>
      </x:c>
      <x:c r="E36" t="n">
        <x:v>1</x:v>
      </x:c>
      <x:c r="F36" t="n">
        <x:f>E36-D36</x:f>
        <x:v>1</x:v>
      </x:c>
      <x:c r="G36" t="n">
        <x:v>1</x:v>
      </x:c>
      <x:c r="H36" t="n">
        <x:v>1</x:v>
      </x:c>
      <x:c r="I36" t="n">
        <x:f>H36-G36</x:f>
        <x:v>0</x:v>
      </x:c>
      <x:c r="J36" t="n">
        <x:v>1</x:v>
      </x:c>
      <x:c r="K36" t="n">
        <x:v>0</x:v>
      </x:c>
      <x:c r="L36" t="n">
        <x:f>K36-J36</x:f>
        <x:v>-1</x:v>
      </x:c>
      <x:c r="M36" t="n">
        <x:v>1</x:v>
      </x:c>
      <x:c r="N36" t="n">
        <x:v>1</x:v>
      </x:c>
      <x:c r="O36" t="n">
        <x:f>N36-M36</x:f>
        <x:v>0</x:v>
      </x:c>
      <x:c r="P36" t="n">
        <x:v>0</x:v>
      </x:c>
      <x:c r="Q36" t="n">
        <x:v>0</x:v>
      </x:c>
      <x:c r="R36" t="n">
        <x:f>Q36-P36</x:f>
        <x:v>0</x:v>
      </x:c>
      <x:c r="S36" t="n">
        <x:v>0</x:v>
      </x:c>
      <x:c r="T36" t="n">
        <x:v>1</x:v>
      </x:c>
      <x:c r="U36" t="n">
        <x:f>T36-S36</x:f>
        <x:v>1</x:v>
      </x:c>
      <x:c r="V36" t="n">
        <x:v>1</x:v>
      </x:c>
      <x:c r="W36" t="n">
        <x:v>1</x:v>
      </x:c>
      <x:c r="X36" t="n">
        <x:f>W36-V36</x:f>
        <x:v>0</x:v>
      </x:c>
      <x:c r="Y36" t="n">
        <x:v>0.3333333333</x:v>
      </x:c>
      <x:c r="Z36" t="n">
        <x:v>0.6666666667</x:v>
      </x:c>
      <x:c r="AA36" t="n">
        <x:f>Z36-Y36</x:f>
        <x:v>0.3333333334</x:v>
      </x:c>
    </x:row>
    <x:row r="37">
      <x:c r="A37" t="n">
        <x:v>904</x:v>
      </x:c>
      <x:c r="B37" t="n">
        <x:v>2</x:v>
      </x:c>
      <x:c r="C37" t="str">
        <x:v>Text-in-General</x:v>
      </x:c>
      <x:c r="D37" t="n">
        <x:v>0</x:v>
      </x:c>
      <x:c r="E37" t="n">
        <x:v>0</x:v>
      </x:c>
      <x:c r="F37" t="n">
        <x:f>E37-D37</x:f>
        <x:v>0</x:v>
      </x:c>
      <x:c r="G37" t="n">
        <x:v>0</x:v>
      </x:c>
      <x:c r="H37" t="n">
        <x:v>0</x:v>
      </x:c>
      <x:c r="I37" t="n">
        <x:f>H37-G37</x:f>
        <x:v>0</x:v>
      </x:c>
      <x:c r="J37" t="n">
        <x:v>1</x:v>
      </x:c>
      <x:c r="K37" t="n">
        <x:v>0</x:v>
      </x:c>
      <x:c r="L37" t="n">
        <x:f>K37-J37</x:f>
        <x:v>-1</x:v>
      </x:c>
      <x:c r="M37" t="n">
        <x:v>0</x:v>
      </x:c>
      <x:c r="N37" t="n">
        <x:v>0</x:v>
      </x:c>
      <x:c r="O37" t="n">
        <x:f>N37-M37</x:f>
        <x:v>0</x:v>
      </x:c>
      <x:c r="P37" t="n">
        <x:v>0</x:v>
      </x:c>
      <x:c r="Q37" t="n">
        <x:v>0</x:v>
      </x:c>
      <x:c r="R37" t="n">
        <x:f>Q37-P37</x:f>
        <x:v>0</x:v>
      </x:c>
      <x:c r="S37" t="n">
        <x:v>0</x:v>
      </x:c>
      <x:c r="T37" t="n">
        <x:v>0</x:v>
      </x:c>
      <x:c r="U37" t="n">
        <x:f>T37-S37</x:f>
        <x:v>0</x:v>
      </x:c>
      <x:c r="V37" t="n">
        <x:v>0</x:v>
      </x:c>
      <x:c r="W37" t="n">
        <x:v>0</x:v>
      </x:c>
      <x:c r="X37" t="n">
        <x:f>W37-V37</x:f>
        <x:v>0</x:v>
      </x:c>
      <x:c r="Y37" t="n">
        <x:v>0</x:v>
      </x:c>
      <x:c r="Z37" t="n">
        <x:v>0</x:v>
      </x:c>
      <x:c r="AA37" t="n">
        <x:f>Z37-Y37</x:f>
        <x:v>0</x:v>
      </x:c>
    </x:row>
    <x:row r="38">
      <x:c r="A38" t="n">
        <x:v>914</x:v>
      </x:c>
      <x:c r="B38" t="n">
        <x:v>1</x:v>
      </x:c>
      <x:c r="C38" t="str">
        <x:v>Text-in-Chart</x:v>
      </x:c>
      <x:c r="D38" t="n">
        <x:v>1</x:v>
      </x:c>
      <x:c r="E38" t="n">
        <x:v>1</x:v>
      </x:c>
      <x:c r="F38" t="n">
        <x:f>E38-D38</x:f>
        <x:v>0</x:v>
      </x:c>
      <x:c r="G38" t="n">
        <x:v>1</x:v>
      </x:c>
      <x:c r="H38" t="n">
        <x:v>1</x:v>
      </x:c>
      <x:c r="I38" t="n">
        <x:f>H38-G38</x:f>
        <x:v>0</x:v>
      </x:c>
      <x:c r="J38" t="n">
        <x:v>0</x:v>
      </x:c>
      <x:c r="K38" t="n">
        <x:v>1</x:v>
      </x:c>
      <x:c r="L38" t="n">
        <x:f>K38-J38</x:f>
        <x:v>1</x:v>
      </x:c>
      <x:c r="M38" t="n">
        <x:v>1</x:v>
      </x:c>
      <x:c r="N38" t="n">
        <x:v>1</x:v>
      </x:c>
      <x:c r="O38" t="n">
        <x:f>N38-M38</x:f>
        <x:v>0</x:v>
      </x:c>
      <x:c r="P38" t="n">
        <x:v>0</x:v>
      </x:c>
      <x:c r="Q38" t="n">
        <x:v>0</x:v>
      </x:c>
      <x:c r="R38" t="n">
        <x:f>Q38-P38</x:f>
        <x:v>0</x:v>
      </x:c>
      <x:c r="S38" t="n">
        <x:v>0</x:v>
      </x:c>
      <x:c r="T38" t="n">
        <x:v>0</x:v>
      </x:c>
      <x:c r="U38" t="n">
        <x:f>T38-S38</x:f>
        <x:v>0</x:v>
      </x:c>
      <x:c r="V38" t="n">
        <x:v>1</x:v>
      </x:c>
      <x:c r="W38" t="n">
        <x:v>1</x:v>
      </x:c>
      <x:c r="X38" t="n">
        <x:f>W38-V38</x:f>
        <x:v>0</x:v>
      </x:c>
      <x:c r="Y38" t="n">
        <x:v>0.3333333333</x:v>
      </x:c>
      <x:c r="Z38" t="n">
        <x:v>0.3333333333</x:v>
      </x:c>
      <x:c r="AA38" t="n">
        <x:f>Z38-Y38</x:f>
        <x:v>0</x:v>
      </x:c>
    </x:row>
    <x:row r="39">
      <x:c r="A39" t="n">
        <x:v>916</x:v>
      </x:c>
      <x:c r="B39" t="n">
        <x:v>4</x:v>
      </x:c>
      <x:c r="C39" t="str">
        <x:v>Number-in-General</x:v>
      </x:c>
      <x:c r="D39" t="n">
        <x:v>1</x:v>
      </x:c>
      <x:c r="E39" t="n">
        <x:v>1</x:v>
      </x:c>
      <x:c r="F39" t="n">
        <x:f>E39-D39</x:f>
        <x:v>0</x:v>
      </x:c>
      <x:c r="G39" t="n">
        <x:v>1</x:v>
      </x:c>
      <x:c r="H39" t="n">
        <x:v>1</x:v>
      </x:c>
      <x:c r="I39" t="n">
        <x:f>H39-G39</x:f>
        <x:v>0</x:v>
      </x:c>
      <x:c r="J39" t="n">
        <x:v>1</x:v>
      </x:c>
      <x:c r="K39" t="n">
        <x:v>0</x:v>
      </x:c>
      <x:c r="L39" t="n">
        <x:f>K39-J39</x:f>
        <x:v>-1</x:v>
      </x:c>
      <x:c r="M39" t="n">
        <x:v>0</x:v>
      </x:c>
      <x:c r="N39" t="n">
        <x:v>1</x:v>
      </x:c>
      <x:c r="O39" t="n">
        <x:f>N39-M39</x:f>
        <x:v>1</x:v>
      </x:c>
      <x:c r="P39" t="n">
        <x:v>0</x:v>
      </x:c>
      <x:c r="Q39" t="n">
        <x:v>1</x:v>
      </x:c>
      <x:c r="R39" t="n">
        <x:f>Q39-P39</x:f>
        <x:v>1</x:v>
      </x:c>
      <x:c r="S39" t="n">
        <x:v>0</x:v>
      </x:c>
      <x:c r="T39" t="n">
        <x:v>1</x:v>
      </x:c>
      <x:c r="U39" t="n">
        <x:f>T39-S39</x:f>
        <x:v>1</x:v>
      </x:c>
      <x:c r="V39" t="n">
        <x:v>1</x:v>
      </x:c>
      <x:c r="W39" t="n">
        <x:v>1</x:v>
      </x:c>
      <x:c r="X39" t="n">
        <x:f>W39-V39</x:f>
        <x:v>0</x:v>
      </x:c>
      <x:c r="Y39" t="n">
        <x:v>0</x:v>
      </x:c>
      <x:c r="Z39" t="n">
        <x:v>1</x:v>
      </x:c>
      <x:c r="AA39" t="n">
        <x:f>Z39-Y39</x:f>
        <x:v>1</x:v>
      </x:c>
    </x:row>
    <x:row r="40">
      <x:c r="A40" t="n">
        <x:v>924</x:v>
      </x:c>
      <x:c r="B40" t="n">
        <x:v>3</x:v>
      </x:c>
      <x:c r="C40" t="str">
        <x:v>Number-in-Chart</x:v>
      </x:c>
      <x:c r="D40" t="n">
        <x:v>1</x:v>
      </x:c>
      <x:c r="E40" t="n">
        <x:v>1</x:v>
      </x:c>
      <x:c r="F40" t="n">
        <x:f>E40-D40</x:f>
        <x:v>0</x:v>
      </x:c>
      <x:c r="G40" t="n">
        <x:v>0</x:v>
      </x:c>
      <x:c r="H40" t="n">
        <x:v>1</x:v>
      </x:c>
      <x:c r="I40" t="n">
        <x:f>H40-G40</x:f>
        <x:v>1</x:v>
      </x:c>
      <x:c r="J40" t="n">
        <x:v>0</x:v>
      </x:c>
      <x:c r="K40" t="n">
        <x:v>0</x:v>
      </x:c>
      <x:c r="L40" t="n">
        <x:f>K40-J40</x:f>
        <x:v>0</x:v>
      </x:c>
      <x:c r="M40" t="n">
        <x:v>0</x:v>
      </x:c>
      <x:c r="N40" t="n">
        <x:v>0</x:v>
      </x:c>
      <x:c r="O40" t="n">
        <x:f>N40-M40</x:f>
        <x:v>0</x:v>
      </x:c>
      <x:c r="P40" t="n">
        <x:v>0</x:v>
      </x:c>
      <x:c r="Q40" t="n">
        <x:v>0</x:v>
      </x:c>
      <x:c r="R40" t="n">
        <x:f>Q40-P40</x:f>
        <x:v>0</x:v>
      </x:c>
      <x:c r="S40" t="n">
        <x:v>0</x:v>
      </x:c>
      <x:c r="T40" t="n">
        <x:v>0</x:v>
      </x:c>
      <x:c r="U40" t="n">
        <x:f>T40-S40</x:f>
        <x:v>0</x:v>
      </x:c>
      <x:c r="V40" t="n">
        <x:v>0</x:v>
      </x:c>
      <x:c r="W40" t="n">
        <x:v>0</x:v>
      </x:c>
      <x:c r="X40" t="n">
        <x:f>W40-V40</x:f>
        <x:v>0</x:v>
      </x:c>
      <x:c r="Y40" t="n">
        <x:v>0</x:v>
      </x:c>
      <x:c r="Z40" t="n">
        <x:v>0</x:v>
      </x:c>
      <x:c r="AA40" t="n">
        <x:f>Z40-Y40</x:f>
        <x:v>0</x:v>
      </x:c>
    </x:row>
    <x:row r="41">
      <x:c r="A41" t="n">
        <x:v>973</x:v>
      </x:c>
      <x:c r="B41" t="n">
        <x:v>1</x:v>
      </x:c>
      <x:c r="C41" t="str">
        <x:v>Text-in-Chart</x:v>
      </x:c>
      <x:c r="D41" t="n">
        <x:v>1</x:v>
      </x:c>
      <x:c r="E41" t="n">
        <x:v>1</x:v>
      </x:c>
      <x:c r="F41" t="n">
        <x:f>E41-D41</x:f>
        <x:v>0</x:v>
      </x:c>
      <x:c r="G41" t="n">
        <x:v>1</x:v>
      </x:c>
      <x:c r="H41" t="n">
        <x:v>1</x:v>
      </x:c>
      <x:c r="I41" t="n">
        <x:f>H41-G41</x:f>
        <x:v>0</x:v>
      </x:c>
      <x:c r="J41" t="n">
        <x:v>0</x:v>
      </x:c>
      <x:c r="K41" t="n">
        <x:v>0</x:v>
      </x:c>
      <x:c r="L41" t="n">
        <x:f>K41-J41</x:f>
        <x:v>0</x:v>
      </x:c>
      <x:c r="M41" t="n">
        <x:v>0</x:v>
      </x:c>
      <x:c r="N41" t="n">
        <x:v>0</x:v>
      </x:c>
      <x:c r="O41" t="n">
        <x:f>N41-M41</x:f>
        <x:v>0</x:v>
      </x:c>
      <x:c r="P41" t="n">
        <x:v>0</x:v>
      </x:c>
      <x:c r="Q41" t="n">
        <x:v>0</x:v>
      </x:c>
      <x:c r="R41" t="n">
        <x:f>Q41-P41</x:f>
        <x:v>0</x:v>
      </x:c>
      <x:c r="S41" t="n">
        <x:v>0</x:v>
      </x:c>
      <x:c r="T41" t="n">
        <x:v>0</x:v>
      </x:c>
      <x:c r="U41" t="n">
        <x:f>T41-S41</x:f>
        <x:v>0</x:v>
      </x:c>
      <x:c r="V41" t="n">
        <x:v>1</x:v>
      </x:c>
      <x:c r="W41" t="n">
        <x:v>1</x:v>
      </x:c>
      <x:c r="X41" t="n">
        <x:f>W41-V41</x:f>
        <x:v>0</x:v>
      </x:c>
      <x:c r="Y41" t="n">
        <x:v>0</x:v>
      </x:c>
      <x:c r="Z41" t="n">
        <x:v>0</x:v>
      </x:c>
      <x:c r="AA41" t="n">
        <x:f>Z41-Y41</x:f>
        <x:v>0</x:v>
      </x:c>
    </x:row>
    <x:row r="42">
      <x:c r="A42" t="n">
        <x:v>977</x:v>
      </x:c>
      <x:c r="B42" t="n">
        <x:v>2</x:v>
      </x:c>
      <x:c r="C42" t="str">
        <x:v>Text-in-General</x:v>
      </x:c>
      <x:c r="D42" t="n">
        <x:v>0</x:v>
      </x:c>
      <x:c r="E42" t="n">
        <x:v>1</x:v>
      </x:c>
      <x:c r="F42" t="n">
        <x:f>E42-D42</x:f>
        <x:v>1</x:v>
      </x:c>
      <x:c r="G42" t="n">
        <x:v>0</x:v>
      </x:c>
      <x:c r="H42" t="n">
        <x:v>0</x:v>
      </x:c>
      <x:c r="I42" t="n">
        <x:f>H42-G42</x:f>
        <x:v>0</x:v>
      </x:c>
      <x:c r="J42" t="n">
        <x:v>0</x:v>
      </x:c>
      <x:c r="K42" t="n">
        <x:v>1</x:v>
      </x:c>
      <x:c r="L42" t="n">
        <x:f>K42-J42</x:f>
        <x:v>1</x:v>
      </x:c>
      <x:c r="M42" t="n">
        <x:v>0</x:v>
      </x:c>
      <x:c r="N42" t="n">
        <x:v>1</x:v>
      </x:c>
      <x:c r="O42" t="n">
        <x:f>N42-M42</x:f>
        <x:v>1</x:v>
      </x:c>
      <x:c r="P42" t="n">
        <x:v>0</x:v>
      </x:c>
      <x:c r="Q42" t="n">
        <x:v>0</x:v>
      </x:c>
      <x:c r="R42" t="n">
        <x:f>Q42-P42</x:f>
        <x:v>0</x:v>
      </x:c>
      <x:c r="S42" t="n">
        <x:v>0</x:v>
      </x:c>
      <x:c r="T42" t="n">
        <x:v>1</x:v>
      </x:c>
      <x:c r="U42" t="n">
        <x:f>T42-S42</x:f>
        <x:v>1</x:v>
      </x:c>
      <x:c r="V42" t="n">
        <x:v>0</x:v>
      </x:c>
      <x:c r="W42" t="n">
        <x:v>0</x:v>
      </x:c>
      <x:c r="X42" t="n">
        <x:f>W42-V42</x:f>
        <x:v>0</x:v>
      </x:c>
      <x:c r="Y42" t="n">
        <x:v>0</x:v>
      </x:c>
      <x:c r="Z42" t="n">
        <x:v>0.6666666667</x:v>
      </x:c>
      <x:c r="AA42" t="n">
        <x:f>Z42-Y42</x:f>
        <x:v>0.6666666667</x:v>
      </x:c>
    </x:row>
  </x:sheetData>
  <x:conditionalFormatting sqref="F2:F4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I2:I42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L2:L42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O2:O42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R2:R42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U2:U42">
    <x:cfRule type="colorScale" priority="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X2:X42">
    <x:cfRule type="colorScale" priority="7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A2:AA42">
    <x:cfRule type="colorScale" priority="8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871bcd6010440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72" hidden="0" customWidth="1"/>
    <x:col min="5" max="5" width="68" hidden="0" customWidth="1"/>
    <x:col min="6" max="6" width="13" hidden="0" customWidth="1"/>
    <x:col min="7" max="7" width="13" hidden="0" customWidth="1"/>
  </x:cols>
  <x:sheetData>
    <x:row r="1" ht="32" customHeight="1">
      <x:c r="A1" s="12" t="str">
        <x:v>Type</x:v>
      </x:c>
      <x:c r="B1" s="12" t="str">
        <x:v>Model</x:v>
      </x:c>
      <x:c r="C1" s="12" t="str">
        <x:v>Condition</x:v>
      </x:c>
      <x:c r="D1" s="12" t="str">
        <x:v>Path</x:v>
      </x:c>
      <x:c r="E1" s="12" t="str">
        <x:v>SHA-256</x:v>
      </x:c>
      <x:c r="F1" s="12" t="str">
        <x:v>Files</x:v>
      </x:c>
      <x:c r="G1" s="12" t="str">
        <x:v>Verified</x:v>
      </x:c>
    </x:row>
    <x:row r="2" ht="48" customHeight="1">
      <x:c r="A2" t="str">
        <x:v>condition report</x:v>
      </x:c>
      <x:c r="B2" t="str">
        <x:v>Qwen3.5-9B</x:v>
      </x:c>
      <x:c r="C2" t="str">
        <x:v>all</x:v>
      </x:c>
      <x:c r="D2" t="str">
        <x:v>T:\PyCharmProject\OCR-Reasoning\OCR-Reasoning-main\test_case\RIG_Charxiv\evidence_conditions\condition_comparison_report.json</x:v>
      </x:c>
      <x:c r="E2" t="str">
        <x:v>223d048b72007daab8b1d2897beeb44a96023acdbc1df44da2c04dc0c2dacc40</x:v>
      </x:c>
      <x:c r="F2" t="n">
        <x:v>1061</x:v>
      </x:c>
      <x:c r="G2" s="7" t="b">
        <x:v>1</x:v>
      </x:c>
    </x:row>
    <x:row r="3" ht="48" customHeight="1">
      <x:c r="A3" t="str">
        <x:v>condition report</x:v>
      </x:c>
      <x:c r="B3" t="str">
        <x:v>Qwen3.5-27B</x:v>
      </x:c>
      <x:c r="C3" t="str">
        <x:v>all</x:v>
      </x:c>
      <x:c r="D3" t="str">
        <x:v>T:\PyCharmProject\OCR-Reasoning\OCR-Reasoning-main\test_case\RIG_Charxiv\evidence_conditions\reports\Qwen3.5-27B\condition_comparison_report.json</x:v>
      </x:c>
      <x:c r="E3" t="str">
        <x:v>de99b7609d24077b1bcc329eb032537ae5a6cd02d9aa7e80f67de942b8a8c5d2</x:v>
      </x:c>
      <x:c r="F3" t="n">
        <x:v>1065</x:v>
      </x:c>
      <x:c r="G3" s="7" t="b">
        <x:v>1</x:v>
      </x:c>
    </x:row>
    <x:row r="4" ht="48" customHeight="1">
      <x:c r="A4" t="str">
        <x:v>frozen run</x:v>
      </x:c>
      <x:c r="B4" t="str">
        <x:v>Qwen3.5-9B</x:v>
      </x:c>
      <x:c r="C4" t="str">
        <x:v>full_image</x:v>
      </x:c>
      <x:c r="D4" t="str">
        <x:v>T:\PyCharmProject\OCR-Reasoning\OCR-Reasoning-main\test_case\RIG_Charxiv\evidence_conditions\full-image\Qwen3.5-9B__evidence-conditions-v1\FROZEN.json</x:v>
      </x:c>
      <x:c r="E4" t="str">
        <x:v>e658c8156ce7b369fc8603b94ccf9d4197e07fdd84c810141786386872f9a18e</x:v>
      </x:c>
      <x:c r="F4" t="n">
        <x:v>90</x:v>
      </x:c>
      <x:c r="G4" s="7" t="b">
        <x:v>1</x:v>
      </x:c>
    </x:row>
    <x:row r="5" ht="48" customHeight="1">
      <x:c r="A5" t="str">
        <x:v>frozen run</x:v>
      </x:c>
      <x:c r="B5" t="str">
        <x:v>Qwen3.5-9B</x:v>
      </x:c>
      <x:c r="C5" t="str">
        <x:v>gt_mask_in</x:v>
      </x:c>
      <x:c r="D5" t="str">
        <x:v>T:\PyCharmProject\OCR-Reasoning\OCR-Reasoning-main\test_case\RIG_Charxiv\gt_mask_in\Qwen3.5-9B__gt-mask-in-v1\FROZEN.json</x:v>
      </x:c>
      <x:c r="E5" t="str">
        <x:v>47ce87341ca09848b728c6aae4d6d145b0643b82c54ecc3c676e36cd56025200</x:v>
      </x:c>
      <x:c r="F5" t="n">
        <x:v>95</x:v>
      </x:c>
      <x:c r="G5" s="7" t="b">
        <x:v>1</x:v>
      </x:c>
    </x:row>
    <x:row r="6" ht="48" customHeight="1">
      <x:c r="A6" t="str">
        <x:v>frozen run</x:v>
      </x:c>
      <x:c r="B6" t="str">
        <x:v>Qwen3.5-9B</x:v>
      </x:c>
      <x:c r="C6" t="str">
        <x:v>gt_mask_out</x:v>
      </x:c>
      <x:c r="D6" t="str">
        <x:v>T:\PyCharmProject\OCR-Reasoning\OCR-Reasoning-main\test_case\RIG_Charxiv\evidence_conditions\gt-mask-out\Qwen3.5-9B__evidence-conditions-v1\FROZEN.json</x:v>
      </x:c>
      <x:c r="E6" t="str">
        <x:v>a9bd6516beeb64b8b9bb4dd3249034434a6619fa672cfa31f70a9372a74ed529</x:v>
      </x:c>
      <x:c r="F6" t="n">
        <x:v>90</x:v>
      </x:c>
      <x:c r="G6" s="7" t="b">
        <x:v>1</x:v>
      </x:c>
    </x:row>
    <x:row r="7" ht="48" customHeight="1">
      <x:c r="A7" t="str">
        <x:v>frozen run</x:v>
      </x:c>
      <x:c r="B7" t="str">
        <x:v>Qwen3.5-9B</x:v>
      </x:c>
      <x:c r="C7" t="str">
        <x:v>random_mask_in_1</x:v>
      </x:c>
      <x:c r="D7" t="str">
        <x:v>T:\PyCharmProject\OCR-Reasoning\OCR-Reasoning-main\test_case\RIG_Charxiv\evidence_conditions\random-mask-in\Qwen3.5-9B__evidence-conditions-v1__seed-20260901\FROZEN.json</x:v>
      </x:c>
      <x:c r="E7" t="str">
        <x:v>924280dbd5b93746a802c4e4dd3646e0bc9deca6f72e875921c20efe01fec443</x:v>
      </x:c>
      <x:c r="F7" t="n">
        <x:v>131</x:v>
      </x:c>
      <x:c r="G7" s="7" t="b">
        <x:v>1</x:v>
      </x:c>
    </x:row>
    <x:row r="8" ht="48" customHeight="1">
      <x:c r="A8" t="str">
        <x:v>frozen run</x:v>
      </x:c>
      <x:c r="B8" t="str">
        <x:v>Qwen3.5-9B</x:v>
      </x:c>
      <x:c r="C8" t="str">
        <x:v>random_mask_in_2</x:v>
      </x:c>
      <x:c r="D8" t="str">
        <x:v>T:\PyCharmProject\OCR-Reasoning\OCR-Reasoning-main\test_case\RIG_Charxiv\evidence_conditions\random-mask-in\Qwen3.5-9B__evidence-conditions-v1__seed-20260902\FROZEN.json</x:v>
      </x:c>
      <x:c r="E8" t="str">
        <x:v>62ce4637af855914d565e0c64b0fc12f35111c655cf919d95da5eb14c8c5be91</x:v>
      </x:c>
      <x:c r="F8" t="n">
        <x:v>131</x:v>
      </x:c>
      <x:c r="G8" s="7" t="b">
        <x:v>1</x:v>
      </x:c>
    </x:row>
    <x:row r="9" ht="48" customHeight="1">
      <x:c r="A9" t="str">
        <x:v>frozen run</x:v>
      </x:c>
      <x:c r="B9" t="str">
        <x:v>Qwen3.5-9B</x:v>
      </x:c>
      <x:c r="C9" t="str">
        <x:v>random_mask_in_3</x:v>
      </x:c>
      <x:c r="D9" t="str">
        <x:v>T:\PyCharmProject\OCR-Reasoning\OCR-Reasoning-main\test_case\RIG_Charxiv\evidence_conditions\random-mask-in\Qwen3.5-9B__evidence-conditions-v1__seed-20260903\FROZEN.json</x:v>
      </x:c>
      <x:c r="E9" t="str">
        <x:v>48a26a596a10c901ad58ad82a5d9ebc1fd33c58d5037cafb6b0e1498b2f93ac7</x:v>
      </x:c>
      <x:c r="F9" t="n">
        <x:v>131</x:v>
      </x:c>
      <x:c r="G9" s="7" t="b">
        <x:v>1</x:v>
      </x:c>
    </x:row>
    <x:row r="10" ht="48" customHeight="1">
      <x:c r="A10" t="str">
        <x:v>frozen run</x:v>
      </x:c>
      <x:c r="B10" t="str">
        <x:v>Qwen3.5-9B</x:v>
      </x:c>
      <x:c r="C10" t="str">
        <x:v>gt_roi</x:v>
      </x:c>
      <x:c r="D10" t="str">
        <x:v>T:\PyCharmProject\OCR-Reasoning\OCR-Reasoning-main\test_case\RIG_Charxiv\evidence_conditions\gt-roi\Qwen3.5-9B__evidence-conditions-v1\FROZEN.json</x:v>
      </x:c>
      <x:c r="E10" t="str">
        <x:v>861838d1cec25cfc9d460f0aa9628bd92450867b4c4783fac15c5ac8126a70b6</x:v>
      </x:c>
      <x:c r="F10" t="n">
        <x:v>393</x:v>
      </x:c>
      <x:c r="G10" s="7" t="b">
        <x:v>1</x:v>
      </x:c>
    </x:row>
    <x:row r="11" ht="48" customHeight="1">
      <x:c r="A11" t="str">
        <x:v>frozen run</x:v>
      </x:c>
      <x:c r="B11" t="str">
        <x:v>Qwen3.5-27B</x:v>
      </x:c>
      <x:c r="C11" t="str">
        <x:v>full_image</x:v>
      </x:c>
      <x:c r="D11" t="str">
        <x:v>T:\PyCharmProject\OCR-Reasoning\OCR-Reasoning-main\test_case\RIG_Charxiv\evidence_conditions\full-image\Qwen3.5-27B__evidence-conditions-v1\FROZEN.json</x:v>
      </x:c>
      <x:c r="E11" t="str">
        <x:v>485db6f69a3328cc3c45e4c5dd3fcbfd73f8f4cdd3054ff83baafd728d0de109</x:v>
      </x:c>
      <x:c r="F11" t="n">
        <x:v>91</x:v>
      </x:c>
      <x:c r="G11" s="7" t="b">
        <x:v>1</x:v>
      </x:c>
    </x:row>
    <x:row r="12" ht="48" customHeight="1">
      <x:c r="A12" t="str">
        <x:v>frozen run</x:v>
      </x:c>
      <x:c r="B12" t="str">
        <x:v>Qwen3.5-27B</x:v>
      </x:c>
      <x:c r="C12" t="str">
        <x:v>gt_mask_in</x:v>
      </x:c>
      <x:c r="D12" t="str">
        <x:v>T:\PyCharmProject\OCR-Reasoning\OCR-Reasoning-main\test_case\RIG_Charxiv\gt_mask_in\Qwen3.5-27B__gt-mask-in-v1\FROZEN.json</x:v>
      </x:c>
      <x:c r="E12" t="str">
        <x:v>d019186a122d456c2a51935e230cd7614398ad0596efafd31882ce39290411eb</x:v>
      </x:c>
      <x:c r="F12" t="n">
        <x:v>93</x:v>
      </x:c>
      <x:c r="G12" s="7" t="b">
        <x:v>1</x:v>
      </x:c>
    </x:row>
    <x:row r="13" ht="48" customHeight="1">
      <x:c r="A13" t="str">
        <x:v>frozen run</x:v>
      </x:c>
      <x:c r="B13" t="str">
        <x:v>Qwen3.5-27B</x:v>
      </x:c>
      <x:c r="C13" t="str">
        <x:v>gt_mask_out</x:v>
      </x:c>
      <x:c r="D13" t="str">
        <x:v>T:\PyCharmProject\OCR-Reasoning\OCR-Reasoning-main\test_case\RIG_Charxiv\evidence_conditions\gt-mask-out\Qwen3.5-27B__evidence-conditions-v1\FROZEN.json</x:v>
      </x:c>
      <x:c r="E13" t="str">
        <x:v>145a8fd8a2e17f977045a9d2b89f149454cef70bd8f7c901abb75672b44360ae</x:v>
      </x:c>
      <x:c r="F13" t="n">
        <x:v>91</x:v>
      </x:c>
      <x:c r="G13" s="7" t="b">
        <x:v>1</x:v>
      </x:c>
    </x:row>
    <x:row r="14" ht="48" customHeight="1">
      <x:c r="A14" t="str">
        <x:v>frozen run</x:v>
      </x:c>
      <x:c r="B14" t="str">
        <x:v>Qwen3.5-27B</x:v>
      </x:c>
      <x:c r="C14" t="str">
        <x:v>random_mask_in_1</x:v>
      </x:c>
      <x:c r="D14" t="str">
        <x:v>T:\PyCharmProject\OCR-Reasoning\OCR-Reasoning-main\test_case\RIG_Charxiv\evidence_conditions\random-mask-in\Qwen3.5-27B__evidence-conditions-v1__seed-20260901\FROZEN.json</x:v>
      </x:c>
      <x:c r="E14" t="str">
        <x:v>4f5d7e3d2867ea84eb66066dc272ccb505730e0a81f41187dd486c0fbb0399c4</x:v>
      </x:c>
      <x:c r="F14" t="n">
        <x:v>132</x:v>
      </x:c>
      <x:c r="G14" s="7" t="b">
        <x:v>1</x:v>
      </x:c>
    </x:row>
    <x:row r="15" ht="48" customHeight="1">
      <x:c r="A15" t="str">
        <x:v>frozen run</x:v>
      </x:c>
      <x:c r="B15" t="str">
        <x:v>Qwen3.5-27B</x:v>
      </x:c>
      <x:c r="C15" t="str">
        <x:v>random_mask_in_2</x:v>
      </x:c>
      <x:c r="D15" t="str">
        <x:v>T:\PyCharmProject\OCR-Reasoning\OCR-Reasoning-main\test_case\RIG_Charxiv\evidence_conditions\random-mask-in\Qwen3.5-27B__evidence-conditions-v1__seed-20260902\FROZEN.json</x:v>
      </x:c>
      <x:c r="E15" t="str">
        <x:v>fb1e7fad9bd411ed23b095678b74bdf2b3cc457faa4c1b6d193e862eefd49f7d</x:v>
      </x:c>
      <x:c r="F15" t="n">
        <x:v>132</x:v>
      </x:c>
      <x:c r="G15" s="7" t="b">
        <x:v>1</x:v>
      </x:c>
    </x:row>
    <x:row r="16" ht="48" customHeight="1">
      <x:c r="A16" t="str">
        <x:v>frozen run</x:v>
      </x:c>
      <x:c r="B16" t="str">
        <x:v>Qwen3.5-27B</x:v>
      </x:c>
      <x:c r="C16" t="str">
        <x:v>random_mask_in_3</x:v>
      </x:c>
      <x:c r="D16" t="str">
        <x:v>T:\PyCharmProject\OCR-Reasoning\OCR-Reasoning-main\test_case\RIG_Charxiv\evidence_conditions\random-mask-in\Qwen3.5-27B__evidence-conditions-v1__seed-20260903\FROZEN.json</x:v>
      </x:c>
      <x:c r="E16" t="str">
        <x:v>b6fd3eeb5f4bd9a01ef9733c6500b70ee7800c919e254ac91b8032cc3a1af6f7</x:v>
      </x:c>
      <x:c r="F16" t="n">
        <x:v>132</x:v>
      </x:c>
      <x:c r="G16" s="7" t="b">
        <x:v>1</x:v>
      </x:c>
    </x:row>
    <x:row r="17" ht="48" customHeight="1">
      <x:c r="A17" t="str">
        <x:v>frozen run</x:v>
      </x:c>
      <x:c r="B17" t="str">
        <x:v>Qwen3.5-27B</x:v>
      </x:c>
      <x:c r="C17" t="str">
        <x:v>gt_roi</x:v>
      </x:c>
      <x:c r="D17" t="str">
        <x:v>T:\PyCharmProject\OCR-Reasoning\OCR-Reasoning-main\test_case\RIG_Charxiv\evidence_conditions\gt-roi\Qwen3.5-27B__evidence-conditions-v1\FROZEN.json</x:v>
      </x:c>
      <x:c r="E17" t="str">
        <x:v>5450ec353389041dbea795071b6f86ad512a93e8d2bc069585904b8a96ed69e1</x:v>
      </x:c>
      <x:c r="F17" t="n">
        <x:v>394</x:v>
      </x:c>
      <x:c r="G17" s="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253ee7bb34b42ce"/>
  </x:tableParts>
</x:worksheet>
</file>