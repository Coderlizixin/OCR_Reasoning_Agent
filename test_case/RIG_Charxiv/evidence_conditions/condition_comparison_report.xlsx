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13d90d0a9341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 Item" sheetId="1" r:id="R02c34dbe744345f6"/>
    <x:sheet xmlns:r="http://schemas.openxmlformats.org/officeDocument/2006/relationships" name="Summary" sheetId="2" r:id="R009af92698a24572"/>
    <x:sheet xmlns:r="http://schemas.openxmlformats.org/officeDocument/2006/relationships" name="Pairwise" sheetId="3" r:id="R383c0a7f286c457b"/>
    <x:sheet xmlns:r="http://schemas.openxmlformats.org/officeDocument/2006/relationships" name="Categories" sheetId="4" r:id="Re5ca1d24618c4603"/>
    <x:sheet xmlns:r="http://schemas.openxmlformats.org/officeDocument/2006/relationships" name="Sources" sheetId="5" r:id="Red5f1b7c763c42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yyyy-mm-dd hh:mm:ss"/>
    <x:numFmt numFmtId="202" formatCode="0.00"/>
    <x:numFmt numFmtId="203" formatCode="0.00%"/>
    <x:numFmt numFmtId="204" formatCode="0.000E+0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2"/>
      <x:color rgb="FF17365D"/>
      <x:name val="Carlito"/>
    </x:font>
    <x:font>
      <x:i/>
      <x:sz val="11"/>
      <x:color rgb="FF66666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6B78"/>
      </x:patternFill>
    </x:fill>
    <x:fill>
      <x:patternFill patternType="solid">
        <x:fgColor rgb="FF17365D"/>
      </x:patternFill>
    </x:fill>
    <x:fill>
      <x:patternFill patternType="solid">
        <x:fgColor rgb="FFF3F7FA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6" borderId="0" xfId="0" applyNumberFormat="1" applyFont="1" applyFill="1" applyBorder="1"/>
    <x:xf numFmtId="202" fontId="0" fillId="6" borderId="0" xfId="0" applyNumberFormat="1" applyFont="1" applyFill="1" applyBorder="1"/>
    <x:xf numFmtId="203" fontId="0" fillId="6" borderId="0" xfId="0" applyNumberFormat="1" applyFont="1" applyFill="1" applyBorder="1"/>
    <x:xf numFmtId="200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7ad03be8cb4808" /><Relationship Type="http://schemas.openxmlformats.org/officeDocument/2006/relationships/theme" Target="/xl/theme/theme1.xml" Id="R77394cee4c9a412a" /><Relationship Type="http://schemas.microsoft.com/office/2022/11/relationships/FeaturePropertyBag" Target="/xl/featurePropertyBag/featurePropertyBag.xml" Id="R645f3507f71c4d62" /><Relationship Type="http://schemas.openxmlformats.org/officeDocument/2006/relationships/sharedStrings" Target="/xl/sharedStrings.xml" Id="R57e42f47cee94b70" /><Relationship Type="http://schemas.openxmlformats.org/officeDocument/2006/relationships/worksheet" Target="/xl/worksheets/sheet1.xml" Id="R02c34dbe744345f6" /><Relationship Type="http://schemas.openxmlformats.org/officeDocument/2006/relationships/worksheet" Target="/xl/worksheets/sheet2.xml" Id="R009af92698a24572" /><Relationship Type="http://schemas.openxmlformats.org/officeDocument/2006/relationships/worksheet" Target="/xl/worksheets/sheet3.xml" Id="R383c0a7f286c457b" /><Relationship Type="http://schemas.openxmlformats.org/officeDocument/2006/relationships/worksheet" Target="/xl/worksheets/sheet4.xml" Id="Re5ca1d24618c4603" /><Relationship Type="http://schemas.openxmlformats.org/officeDocument/2006/relationships/worksheet" Target="/xl/worksheets/sheet5.xml" Id="Red5f1b7c763c426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erItemTable" displayName="PerItemTable" ref="A1:AC42" headerRowCount="1" totalsRowCount="0" totalsRowShown="0">
  <x:tableColumns count="29">
    <x:tableColumn id="1" name="Index"/>
    <x:tableColumn id="2" name="Category ID"/>
    <x:tableColumn id="3" name="Category Name"/>
    <x:tableColumn id="4" name="full_image Score"/>
    <x:tableColumn id="5" name="full_image Status"/>
    <x:tableColumn id="6" name="full_image Finish Reason"/>
    <x:tableColumn id="7" name="gt_mask_in Score"/>
    <x:tableColumn id="8" name="gt_mask_in Status"/>
    <x:tableColumn id="9" name="gt_mask_in Finish Reason"/>
    <x:tableColumn id="10" name="gt_mask_out Score"/>
    <x:tableColumn id="11" name="gt_mask_out Status"/>
    <x:tableColumn id="12" name="gt_mask_out Finish Reason"/>
    <x:tableColumn id="13" name="random_mask_in_1 Score"/>
    <x:tableColumn id="14" name="random_mask_in_1 Status"/>
    <x:tableColumn id="15" name="random_mask_in_1 Finish Reason"/>
    <x:tableColumn id="16" name="random_mask_in_2 Score"/>
    <x:tableColumn id="17" name="random_mask_in_2 Status"/>
    <x:tableColumn id="18" name="random_mask_in_2 Finish Reason"/>
    <x:tableColumn id="19" name="random_mask_in_3 Score"/>
    <x:tableColumn id="20" name="random_mask_in_3 Status"/>
    <x:tableColumn id="21" name="random_mask_in_3 Finish Reason"/>
    <x:tableColumn id="22" name="gt_roi Score"/>
    <x:tableColumn id="23" name="gt_roi Status"/>
    <x:tableColumn id="24" name="gt_roi Finish Reason"/>
    <x:tableColumn id="25" name="Random Mean Score"/>
    <x:tableColumn id="26" name="GT In - Full"/>
    <x:tableColumn id="27" name="Full - GT Out"/>
    <x:tableColumn id="28" name="GT In - Random Mean"/>
    <x:tableColumn id="29" name="GT ROI - GT I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verallResultsTable" displayName="OverallResultsTable" ref="A7:J15" headerRowCount="1" totalsRowCount="0" totalsRowShown="0">
  <x:tableColumns count="10">
    <x:tableColumn id="1" name="Condition ID"/>
    <x:tableColumn id="2" name="Condition"/>
    <x:tableColumn id="3" name="Correct"/>
    <x:tableColumn id="4" name="Total"/>
    <x:tableColumn id="5" name="Accuracy"/>
    <x:tableColumn id="6" name="Valid Answers"/>
    <x:tableColumn id="7" name="Valid Rate"/>
    <x:tableColumn id="8" name="Truncated"/>
    <x:tableColumn id="9" name="Truncation Rate"/>
    <x:tableColumn id="10" name="Conditional Accurac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imaryComparisonsTable" displayName="PrimaryComparisonsTable" ref="A18:K26" headerRowCount="1" totalsRowCount="0" totalsRowShown="0">
  <x:tableColumns count="11">
    <x:tableColumn id="1" name="Comparison"/>
    <x:tableColumn id="2" name="Treatment"/>
    <x:tableColumn id="3" name="Reference"/>
    <x:tableColumn id="4" name="Delta (pp)"/>
    <x:tableColumn id="5" name="95% CI Low"/>
    <x:tableColumn id="6" name="95% CI High"/>
    <x:tableColumn id="7" name="McNemar p"/>
    <x:tableColumn id="8" name="Treatment Only"/>
    <x:tableColumn id="9" name="Reference Only"/>
    <x:tableColumn id="10" name="Both Correct"/>
    <x:tableColumn id="11" name="Both Wrong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PairwiseTable" displayName="PairwiseTable" ref="A1:P9" headerRowCount="1" totalsRowCount="0" totalsRowShown="0">
  <x:tableColumns count="16">
    <x:tableColumn id="1" name="Comparison ID"/>
    <x:tableColumn id="2" name="Treatment"/>
    <x:tableColumn id="3" name="Reference"/>
    <x:tableColumn id="4" name="Delta (pp)"/>
    <x:tableColumn id="5" name="95% CI Low"/>
    <x:tableColumn id="6" name="95% CI High"/>
    <x:tableColumn id="7" name="McNemar p"/>
    <x:tableColumn id="8" name="Treatment Only"/>
    <x:tableColumn id="9" name="Reference Only"/>
    <x:tableColumn id="10" name="Both Correct"/>
    <x:tableColumn id="11" name="Both Wrong"/>
    <x:tableColumn id="12" name="Treatment-only Indices"/>
    <x:tableColumn id="13" name="Reference-only Indices"/>
    <x:tableColumn id="14" name="Bootstrap Seed"/>
    <x:tableColumn id="15" name="Bootstrap Samples"/>
    <x:tableColumn id="16" name="CI Method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CategoryResultsTable" displayName="CategoryResultsTable" ref="A1:G33" headerRowCount="1" totalsRowCount="0" totalsRowShown="0">
  <x:tableColumns count="7">
    <x:tableColumn id="1" name="Condition ID"/>
    <x:tableColumn id="2" name="Condition"/>
    <x:tableColumn id="3" name="Category ID"/>
    <x:tableColumn id="4" name="Category"/>
    <x:tableColumn id="5" name="Correct"/>
    <x:tableColumn id="6" name="Total"/>
    <x:tableColumn id="7" name="Accurac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sTable" displayName="SourcesTable" ref="A1:J8" headerRowCount="1" totalsRowCount="0" totalsRowShown="0">
  <x:tableColumns count="10">
    <x:tableColumn id="1" name="Condition ID"/>
    <x:tableColumn id="2" name="Condition"/>
    <x:tableColumn id="3" name="Seed"/>
    <x:tableColumn id="4" name="Run Directory"/>
    <x:tableColumn id="5" name="Judge Workbook"/>
    <x:tableColumn id="6" name="Workbook SHA-256"/>
    <x:tableColumn id="7" name="Frozen At"/>
    <x:tableColumn id="8" name="Frozen File Count"/>
    <x:tableColumn id="9" name="Manifest SHA-256"/>
    <x:tableColumn id="10" name="Verified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18e0267f05407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691f6b4c9064f40" /><Relationship Type="http://schemas.openxmlformats.org/officeDocument/2006/relationships/table" Target="/xl/tables/table3.xml" Id="R0421eb568abc4c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39b32856eac347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e4b6727939a54e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2878434db4584a92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1" hidden="0" customWidth="1"/>
    <x:col min="3" max="3" width="21" hidden="0" customWidth="1"/>
    <x:col min="4" max="4" width="13" hidden="0" customWidth="1"/>
    <x:col min="5" max="5" width="14" hidden="0" customWidth="1"/>
    <x:col min="6" max="6" width="18" hidden="0" customWidth="1"/>
    <x:col min="7" max="7" width="13" hidden="0" customWidth="1"/>
    <x:col min="8" max="8" width="14" hidden="0" customWidth="1"/>
    <x:col min="9" max="9" width="18" hidden="0" customWidth="1"/>
    <x:col min="10" max="10" width="13" hidden="0" customWidth="1"/>
    <x:col min="11" max="11" width="14" hidden="0" customWidth="1"/>
    <x:col min="12" max="12" width="18" hidden="0" customWidth="1"/>
    <x:col min="13" max="13" width="13" hidden="0" customWidth="1"/>
    <x:col min="14" max="14" width="14" hidden="0" customWidth="1"/>
    <x:col min="15" max="15" width="18" hidden="0" customWidth="1"/>
    <x:col min="16" max="16" width="13" hidden="0" customWidth="1"/>
    <x:col min="17" max="17" width="14" hidden="0" customWidth="1"/>
    <x:col min="18" max="18" width="18" hidden="0" customWidth="1"/>
    <x:col min="19" max="19" width="13" hidden="0" customWidth="1"/>
    <x:col min="20" max="20" width="14" hidden="0" customWidth="1"/>
    <x:col min="21" max="21" width="18" hidden="0" customWidth="1"/>
    <x:col min="22" max="22" width="13" hidden="0" customWidth="1"/>
    <x:col min="23" max="23" width="14" hidden="0" customWidth="1"/>
    <x:col min="24" max="24" width="18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</x:cols>
  <x:sheetData>
    <x:row r="1" ht="30" customHeight="1">
      <x:c r="A1" s="5" t="str">
        <x:v>Index</x:v>
      </x:c>
      <x:c r="B1" s="5" t="str">
        <x:v>Category ID</x:v>
      </x:c>
      <x:c r="C1" s="5" t="str">
        <x:v>Category Name</x:v>
      </x:c>
      <x:c r="D1" s="5" t="str">
        <x:v>full_image Score</x:v>
      </x:c>
      <x:c r="E1" s="5" t="str">
        <x:v>full_image Status</x:v>
      </x:c>
      <x:c r="F1" s="5" t="str">
        <x:v>full_image Finish Reason</x:v>
      </x:c>
      <x:c r="G1" s="5" t="str">
        <x:v>gt_mask_in Score</x:v>
      </x:c>
      <x:c r="H1" s="5" t="str">
        <x:v>gt_mask_in Status</x:v>
      </x:c>
      <x:c r="I1" s="5" t="str">
        <x:v>gt_mask_in Finish Reason</x:v>
      </x:c>
      <x:c r="J1" s="5" t="str">
        <x:v>gt_mask_out Score</x:v>
      </x:c>
      <x:c r="K1" s="5" t="str">
        <x:v>gt_mask_out Status</x:v>
      </x:c>
      <x:c r="L1" s="5" t="str">
        <x:v>gt_mask_out Finish Reason</x:v>
      </x:c>
      <x:c r="M1" s="5" t="str">
        <x:v>random_mask_in_1 Score</x:v>
      </x:c>
      <x:c r="N1" s="5" t="str">
        <x:v>random_mask_in_1 Status</x:v>
      </x:c>
      <x:c r="O1" s="5" t="str">
        <x:v>random_mask_in_1 Finish Reason</x:v>
      </x:c>
      <x:c r="P1" s="5" t="str">
        <x:v>random_mask_in_2 Score</x:v>
      </x:c>
      <x:c r="Q1" s="5" t="str">
        <x:v>random_mask_in_2 Status</x:v>
      </x:c>
      <x:c r="R1" s="5" t="str">
        <x:v>random_mask_in_2 Finish Reason</x:v>
      </x:c>
      <x:c r="S1" s="5" t="str">
        <x:v>random_mask_in_3 Score</x:v>
      </x:c>
      <x:c r="T1" s="5" t="str">
        <x:v>random_mask_in_3 Status</x:v>
      </x:c>
      <x:c r="U1" s="5" t="str">
        <x:v>random_mask_in_3 Finish Reason</x:v>
      </x:c>
      <x:c r="V1" s="5" t="str">
        <x:v>gt_roi Score</x:v>
      </x:c>
      <x:c r="W1" s="5" t="str">
        <x:v>gt_roi Status</x:v>
      </x:c>
      <x:c r="X1" s="5" t="str">
        <x:v>gt_roi Finish Reason</x:v>
      </x:c>
      <x:c r="Y1" s="5" t="str">
        <x:v>Random Mean Score</x:v>
      </x:c>
      <x:c r="Z1" s="5" t="str">
        <x:v>GT In - Full</x:v>
      </x:c>
      <x:c r="AA1" s="5" t="str">
        <x:v>Full - GT Out</x:v>
      </x:c>
      <x:c r="AB1" s="5" t="str">
        <x:v>GT In - Random Mean</x:v>
      </x:c>
      <x:c r="AC1" s="5" t="str">
        <x:v>GT ROI - GT In</x:v>
      </x:c>
    </x:row>
    <x:row r="2">
      <x:c r="A2" s="6" t="n">
        <x:v>1</x:v>
      </x:c>
      <x:c r="B2" s="6" t="n">
        <x:v>1</x:v>
      </x:c>
      <x:c r="C2" t="str">
        <x:v>Text-in-Chart</x:v>
      </x:c>
      <x:c r="D2" s="6" t="n">
        <x:v>0</x:v>
      </x:c>
      <x:c r="E2" s="6" t="str">
        <x:v>valid</x:v>
      </x:c>
      <x:c r="F2" s="6" t="str">
        <x:v>stop</x:v>
      </x:c>
      <x:c r="G2" s="6" t="n">
        <x:v>1</x:v>
      </x:c>
      <x:c r="H2" s="6" t="str">
        <x:v>valid</x:v>
      </x:c>
      <x:c r="I2" s="6" t="str">
        <x:v>stop</x:v>
      </x:c>
      <x:c r="J2" s="6" t="n">
        <x:v>0</x:v>
      </x:c>
      <x:c r="K2" s="6" t="str">
        <x:v>valid</x:v>
      </x:c>
      <x:c r="L2" s="6" t="str">
        <x:v>stop</x:v>
      </x:c>
      <x:c r="M2" s="6" t="n">
        <x:v>0</x:v>
      </x:c>
      <x:c r="N2" s="6" t="str">
        <x:v>valid</x:v>
      </x:c>
      <x:c r="O2" s="6" t="str">
        <x:v>stop</x:v>
      </x:c>
      <x:c r="P2" s="6" t="n">
        <x:v>0</x:v>
      </x:c>
      <x:c r="Q2" s="6" t="str">
        <x:v>truncated</x:v>
      </x:c>
      <x:c r="R2" s="6" t="str">
        <x:v>length</x:v>
      </x:c>
      <x:c r="S2" s="6" t="n">
        <x:v>0</x:v>
      </x:c>
      <x:c r="T2" s="6" t="str">
        <x:v>valid</x:v>
      </x:c>
      <x:c r="U2" s="6" t="str">
        <x:v>stop</x:v>
      </x:c>
      <x:c r="V2" s="6" t="n">
        <x:v>0</x:v>
      </x:c>
      <x:c r="W2" s="6" t="str">
        <x:v>truncated</x:v>
      </x:c>
      <x:c r="X2" s="6" t="str">
        <x:v>length</x:v>
      </x:c>
      <x:c r="Y2" s="7" t="n">
        <x:v>0</x:v>
      </x:c>
      <x:c r="Z2" s="7" t="n">
        <x:v>1</x:v>
      </x:c>
      <x:c r="AA2" s="7" t="n">
        <x:v>0</x:v>
      </x:c>
      <x:c r="AB2" s="7" t="n">
        <x:v>1</x:v>
      </x:c>
      <x:c r="AC2" s="7" t="n">
        <x:v>-1</x:v>
      </x:c>
    </x:row>
    <x:row r="3">
      <x:c r="A3" s="6" t="n">
        <x:v>8</x:v>
      </x:c>
      <x:c r="B3" s="6" t="n">
        <x:v>3</x:v>
      </x:c>
      <x:c r="C3" t="str">
        <x:v>Number-in-Chart</x:v>
      </x:c>
      <x:c r="D3" s="6" t="n">
        <x:v>1</x:v>
      </x:c>
      <x:c r="E3" s="6" t="str">
        <x:v>valid</x:v>
      </x:c>
      <x:c r="F3" s="6" t="str">
        <x:v>stop</x:v>
      </x:c>
      <x:c r="G3" s="6" t="n">
        <x:v>0</x:v>
      </x:c>
      <x:c r="H3" s="6" t="str">
        <x:v>truncated</x:v>
      </x:c>
      <x:c r="I3" s="6" t="str">
        <x:v>length</x:v>
      </x:c>
      <x:c r="J3" s="6" t="n">
        <x:v>0</x:v>
      </x:c>
      <x:c r="K3" s="6" t="str">
        <x:v>valid</x:v>
      </x:c>
      <x:c r="L3" s="6" t="str">
        <x:v>stop</x:v>
      </x:c>
      <x:c r="M3" s="6" t="n">
        <x:v>0</x:v>
      </x:c>
      <x:c r="N3" s="6" t="str">
        <x:v>valid</x:v>
      </x:c>
      <x:c r="O3" s="6" t="str">
        <x:v>stop</x:v>
      </x:c>
      <x:c r="P3" s="6" t="n">
        <x:v>0</x:v>
      </x:c>
      <x:c r="Q3" s="6" t="str">
        <x:v>valid</x:v>
      </x:c>
      <x:c r="R3" s="6" t="str">
        <x:v>stop</x:v>
      </x:c>
      <x:c r="S3" s="6" t="n">
        <x:v>0</x:v>
      </x:c>
      <x:c r="T3" s="6" t="str">
        <x:v>valid</x:v>
      </x:c>
      <x:c r="U3" s="6" t="str">
        <x:v>stop</x:v>
      </x:c>
      <x:c r="V3" s="6" t="n">
        <x:v>1</x:v>
      </x:c>
      <x:c r="W3" s="6" t="str">
        <x:v>valid</x:v>
      </x:c>
      <x:c r="X3" s="6" t="str">
        <x:v>stop</x:v>
      </x:c>
      <x:c r="Y3" s="7" t="n">
        <x:v>0</x:v>
      </x:c>
      <x:c r="Z3" s="7" t="n">
        <x:v>-1</x:v>
      </x:c>
      <x:c r="AA3" s="7" t="n">
        <x:v>1</x:v>
      </x:c>
      <x:c r="AB3" s="7" t="n">
        <x:v>0</x:v>
      </x:c>
      <x:c r="AC3" s="7" t="n">
        <x:v>1</x:v>
      </x:c>
    </x:row>
    <x:row r="4">
      <x:c r="A4" s="6" t="n">
        <x:v>17</x:v>
      </x:c>
      <x:c r="B4" s="6" t="n">
        <x:v>2</x:v>
      </x:c>
      <x:c r="C4" t="str">
        <x:v>Text-in-General</x:v>
      </x:c>
      <x:c r="D4" s="6" t="n">
        <x:v>1</x:v>
      </x:c>
      <x:c r="E4" s="6" t="str">
        <x:v>valid</x:v>
      </x:c>
      <x:c r="F4" s="6" t="str">
        <x:v>stop</x:v>
      </x:c>
      <x:c r="G4" s="6" t="n">
        <x:v>0</x:v>
      </x:c>
      <x:c r="H4" s="6" t="str">
        <x:v>truncated</x:v>
      </x:c>
      <x:c r="I4" s="6" t="str">
        <x:v>length</x:v>
      </x:c>
      <x:c r="J4" s="6" t="n">
        <x:v>0</x:v>
      </x:c>
      <x:c r="K4" s="6" t="str">
        <x:v>truncated</x:v>
      </x:c>
      <x:c r="L4" s="6" t="str">
        <x:v>length</x:v>
      </x:c>
      <x:c r="M4" s="6" t="n">
        <x:v>1</x:v>
      </x:c>
      <x:c r="N4" s="6" t="str">
        <x:v>valid</x:v>
      </x:c>
      <x:c r="O4" s="6" t="str">
        <x:v>stop</x:v>
      </x:c>
      <x:c r="P4" s="6" t="n">
        <x:v>0</x:v>
      </x:c>
      <x:c r="Q4" s="6" t="str">
        <x:v>valid</x:v>
      </x:c>
      <x:c r="R4" s="6" t="str">
        <x:v>stop</x:v>
      </x:c>
      <x:c r="S4" s="6" t="n">
        <x:v>0</x:v>
      </x:c>
      <x:c r="T4" s="6" t="str">
        <x:v>truncated</x:v>
      </x:c>
      <x:c r="U4" s="6" t="str">
        <x:v>length</x:v>
      </x:c>
      <x:c r="V4" s="6" t="n">
        <x:v>0</x:v>
      </x:c>
      <x:c r="W4" s="6" t="str">
        <x:v>truncated</x:v>
      </x:c>
      <x:c r="X4" s="6" t="str">
        <x:v>length</x:v>
      </x:c>
      <x:c r="Y4" s="7" t="n">
        <x:v>0.3333333333</x:v>
      </x:c>
      <x:c r="Z4" s="7" t="n">
        <x:v>-1</x:v>
      </x:c>
      <x:c r="AA4" s="7" t="n">
        <x:v>1</x:v>
      </x:c>
      <x:c r="AB4" s="7" t="n">
        <x:v>-0.3333333333</x:v>
      </x:c>
      <x:c r="AC4" s="7" t="n">
        <x:v>0</x:v>
      </x:c>
    </x:row>
    <x:row r="5">
      <x:c r="A5" s="6" t="n">
        <x:v>21</x:v>
      </x:c>
      <x:c r="B5" s="6" t="n">
        <x:v>1</x:v>
      </x:c>
      <x:c r="C5" t="str">
        <x:v>Text-in-Chart</x:v>
      </x:c>
      <x:c r="D5" s="6" t="n">
        <x:v>1</x:v>
      </x:c>
      <x:c r="E5" s="6" t="str">
        <x:v>valid</x:v>
      </x:c>
      <x:c r="F5" s="6" t="str">
        <x:v>stop</x:v>
      </x:c>
      <x:c r="G5" s="6" t="n">
        <x:v>0</x:v>
      </x:c>
      <x:c r="H5" s="6" t="str">
        <x:v>valid</x:v>
      </x:c>
      <x:c r="I5" s="6" t="str">
        <x:v>stop</x:v>
      </x:c>
      <x:c r="J5" s="6" t="n">
        <x:v>0</x:v>
      </x:c>
      <x:c r="K5" s="6" t="str">
        <x:v>truncated</x:v>
      </x:c>
      <x:c r="L5" s="6" t="str">
        <x:v>length</x:v>
      </x:c>
      <x:c r="M5" s="6" t="n">
        <x:v>0</x:v>
      </x:c>
      <x:c r="N5" s="6" t="str">
        <x:v>truncated</x:v>
      </x:c>
      <x:c r="O5" s="6" t="str">
        <x:v>length</x:v>
      </x:c>
      <x:c r="P5" s="6" t="n">
        <x:v>0</x:v>
      </x:c>
      <x:c r="Q5" s="6" t="str">
        <x:v>valid</x:v>
      </x:c>
      <x:c r="R5" s="6" t="str">
        <x:v>stop</x:v>
      </x:c>
      <x:c r="S5" s="6" t="n">
        <x:v>0</x:v>
      </x:c>
      <x:c r="T5" s="6" t="str">
        <x:v>valid</x:v>
      </x:c>
      <x:c r="U5" s="6" t="str">
        <x:v>stop</x:v>
      </x:c>
      <x:c r="V5" s="6" t="n">
        <x:v>0</x:v>
      </x:c>
      <x:c r="W5" s="6" t="str">
        <x:v>truncated</x:v>
      </x:c>
      <x:c r="X5" s="6" t="str">
        <x:v>length</x:v>
      </x:c>
      <x:c r="Y5" s="7" t="n">
        <x:v>0</x:v>
      </x:c>
      <x:c r="Z5" s="7" t="n">
        <x:v>-1</x:v>
      </x:c>
      <x:c r="AA5" s="7" t="n">
        <x:v>1</x:v>
      </x:c>
      <x:c r="AB5" s="7" t="n">
        <x:v>0</x:v>
      </x:c>
      <x:c r="AC5" s="7" t="n">
        <x:v>0</x:v>
      </x:c>
    </x:row>
    <x:row r="6">
      <x:c r="A6" s="6" t="n">
        <x:v>27</x:v>
      </x:c>
      <x:c r="B6" s="6" t="n">
        <x:v>3</x:v>
      </x:c>
      <x:c r="C6" t="str">
        <x:v>Number-in-Chart</x:v>
      </x:c>
      <x:c r="D6" s="6" t="n">
        <x:v>1</x:v>
      </x:c>
      <x:c r="E6" s="6" t="str">
        <x:v>valid</x:v>
      </x:c>
      <x:c r="F6" s="6" t="str">
        <x:v>stop</x:v>
      </x:c>
      <x:c r="G6" s="6" t="n">
        <x:v>1</x:v>
      </x:c>
      <x:c r="H6" s="6" t="str">
        <x:v>valid</x:v>
      </x:c>
      <x:c r="I6" s="6" t="str">
        <x:v>stop</x:v>
      </x:c>
      <x:c r="J6" s="6" t="n">
        <x:v>0</x:v>
      </x:c>
      <x:c r="K6" s="6" t="str">
        <x:v>truncated</x:v>
      </x:c>
      <x:c r="L6" s="6" t="str">
        <x:v>length</x:v>
      </x:c>
      <x:c r="M6" s="6" t="n">
        <x:v>0</x:v>
      </x:c>
      <x:c r="N6" s="6" t="str">
        <x:v>truncated</x:v>
      </x:c>
      <x:c r="O6" s="6" t="str">
        <x:v>length</x:v>
      </x:c>
      <x:c r="P6" s="6" t="n">
        <x:v>0</x:v>
      </x:c>
      <x:c r="Q6" s="6" t="str">
        <x:v>valid</x:v>
      </x:c>
      <x:c r="R6" s="6" t="str">
        <x:v>stop</x:v>
      </x:c>
      <x:c r="S6" s="6" t="n">
        <x:v>0</x:v>
      </x:c>
      <x:c r="T6" s="6" t="str">
        <x:v>truncated</x:v>
      </x:c>
      <x:c r="U6" s="6" t="str">
        <x:v>length</x:v>
      </x:c>
      <x:c r="V6" s="6" t="n">
        <x:v>0</x:v>
      </x:c>
      <x:c r="W6" s="6" t="str">
        <x:v>truncated</x:v>
      </x:c>
      <x:c r="X6" s="6" t="str">
        <x:v>length</x:v>
      </x:c>
      <x:c r="Y6" s="7" t="n">
        <x:v>0</x:v>
      </x:c>
      <x:c r="Z6" s="7" t="n">
        <x:v>0</x:v>
      </x:c>
      <x:c r="AA6" s="7" t="n">
        <x:v>1</x:v>
      </x:c>
      <x:c r="AB6" s="7" t="n">
        <x:v>1</x:v>
      </x:c>
      <x:c r="AC6" s="7" t="n">
        <x:v>-1</x:v>
      </x:c>
    </x:row>
    <x:row r="7">
      <x:c r="A7" s="6" t="n">
        <x:v>59</x:v>
      </x:c>
      <x:c r="B7" s="6" t="n">
        <x:v>1</x:v>
      </x:c>
      <x:c r="C7" t="str">
        <x:v>Text-in-Chart</x:v>
      </x:c>
      <x:c r="D7" s="6" t="n">
        <x:v>1</x:v>
      </x:c>
      <x:c r="E7" s="6" t="str">
        <x:v>valid</x:v>
      </x:c>
      <x:c r="F7" s="6" t="str">
        <x:v>stop</x:v>
      </x:c>
      <x:c r="G7" s="6" t="n">
        <x:v>1</x:v>
      </x:c>
      <x:c r="H7" s="6" t="str">
        <x:v>valid</x:v>
      </x:c>
      <x:c r="I7" s="6" t="str">
        <x:v>stop</x:v>
      </x:c>
      <x:c r="J7" s="6" t="n">
        <x:v>1</x:v>
      </x:c>
      <x:c r="K7" s="6" t="str">
        <x:v>valid</x:v>
      </x:c>
      <x:c r="L7" s="6" t="str">
        <x:v>stop</x:v>
      </x:c>
      <x:c r="M7" s="6" t="n">
        <x:v>0</x:v>
      </x:c>
      <x:c r="N7" s="6" t="str">
        <x:v>truncated</x:v>
      </x:c>
      <x:c r="O7" s="6" t="str">
        <x:v>length</x:v>
      </x:c>
      <x:c r="P7" s="6" t="n">
        <x:v>0</x:v>
      </x:c>
      <x:c r="Q7" s="6" t="str">
        <x:v>truncated</x:v>
      </x:c>
      <x:c r="R7" s="6" t="str">
        <x:v>length</x:v>
      </x:c>
      <x:c r="S7" s="6" t="n">
        <x:v>0</x:v>
      </x:c>
      <x:c r="T7" s="6" t="str">
        <x:v>truncated</x:v>
      </x:c>
      <x:c r="U7" s="6" t="str">
        <x:v>length</x:v>
      </x:c>
      <x:c r="V7" s="6" t="n">
        <x:v>1</x:v>
      </x:c>
      <x:c r="W7" s="6" t="str">
        <x:v>valid</x:v>
      </x:c>
      <x:c r="X7" s="6" t="str">
        <x:v>stop</x:v>
      </x:c>
      <x:c r="Y7" s="7" t="n">
        <x:v>0</x:v>
      </x:c>
      <x:c r="Z7" s="7" t="n">
        <x:v>0</x:v>
      </x:c>
      <x:c r="AA7" s="7" t="n">
        <x:v>0</x:v>
      </x:c>
      <x:c r="AB7" s="7" t="n">
        <x:v>1</x:v>
      </x:c>
      <x:c r="AC7" s="7" t="n">
        <x:v>0</x:v>
      </x:c>
    </x:row>
    <x:row r="8">
      <x:c r="A8" s="6" t="n">
        <x:v>85</x:v>
      </x:c>
      <x:c r="B8" s="6" t="n">
        <x:v>2</x:v>
      </x:c>
      <x:c r="C8" t="str">
        <x:v>Text-in-General</x:v>
      </x:c>
      <x:c r="D8" s="6" t="n">
        <x:v>1</x:v>
      </x:c>
      <x:c r="E8" s="6" t="str">
        <x:v>valid</x:v>
      </x:c>
      <x:c r="F8" s="6" t="str">
        <x:v>stop</x:v>
      </x:c>
      <x:c r="G8" s="6" t="n">
        <x:v>1</x:v>
      </x:c>
      <x:c r="H8" s="6" t="str">
        <x:v>valid</x:v>
      </x:c>
      <x:c r="I8" s="6" t="str">
        <x:v>stop</x:v>
      </x:c>
      <x:c r="J8" s="6" t="n">
        <x:v>0</x:v>
      </x:c>
      <x:c r="K8" s="6" t="str">
        <x:v>valid</x:v>
      </x:c>
      <x:c r="L8" s="6" t="str">
        <x:v>stop</x:v>
      </x:c>
      <x:c r="M8" s="6" t="n">
        <x:v>0</x:v>
      </x:c>
      <x:c r="N8" s="6" t="str">
        <x:v>valid</x:v>
      </x:c>
      <x:c r="O8" s="6" t="str">
        <x:v>stop</x:v>
      </x:c>
      <x:c r="P8" s="6" t="n">
        <x:v>0</x:v>
      </x:c>
      <x:c r="Q8" s="6" t="str">
        <x:v>valid</x:v>
      </x:c>
      <x:c r="R8" s="6" t="str">
        <x:v>stop</x:v>
      </x:c>
      <x:c r="S8" s="6" t="n">
        <x:v>0</x:v>
      </x:c>
      <x:c r="T8" s="6" t="str">
        <x:v>valid</x:v>
      </x:c>
      <x:c r="U8" s="6" t="str">
        <x:v>stop</x:v>
      </x:c>
      <x:c r="V8" s="6" t="n">
        <x:v>1</x:v>
      </x:c>
      <x:c r="W8" s="6" t="str">
        <x:v>valid</x:v>
      </x:c>
      <x:c r="X8" s="6" t="str">
        <x:v>stop</x:v>
      </x:c>
      <x:c r="Y8" s="7" t="n">
        <x:v>0</x:v>
      </x:c>
      <x:c r="Z8" s="7" t="n">
        <x:v>0</x:v>
      </x:c>
      <x:c r="AA8" s="7" t="n">
        <x:v>1</x:v>
      </x:c>
      <x:c r="AB8" s="7" t="n">
        <x:v>1</x:v>
      </x:c>
      <x:c r="AC8" s="7" t="n">
        <x:v>0</x:v>
      </x:c>
    </x:row>
    <x:row r="9">
      <x:c r="A9" s="6" t="n">
        <x:v>128</x:v>
      </x:c>
      <x:c r="B9" s="6" t="n">
        <x:v>3</x:v>
      </x:c>
      <x:c r="C9" t="str">
        <x:v>Number-in-Chart</x:v>
      </x:c>
      <x:c r="D9" s="6" t="n">
        <x:v>1</x:v>
      </x:c>
      <x:c r="E9" s="6" t="str">
        <x:v>valid</x:v>
      </x:c>
      <x:c r="F9" s="6" t="str">
        <x:v>stop</x:v>
      </x:c>
      <x:c r="G9" s="6" t="n">
        <x:v>1</x:v>
      </x:c>
      <x:c r="H9" s="6" t="str">
        <x:v>valid</x:v>
      </x:c>
      <x:c r="I9" s="6" t="str">
        <x:v>stop</x:v>
      </x:c>
      <x:c r="J9" s="6" t="n">
        <x:v>0</x:v>
      </x:c>
      <x:c r="K9" s="6" t="str">
        <x:v>truncated</x:v>
      </x:c>
      <x:c r="L9" s="6" t="str">
        <x:v>length</x:v>
      </x:c>
      <x:c r="M9" s="6" t="n">
        <x:v>0</x:v>
      </x:c>
      <x:c r="N9" s="6" t="str">
        <x:v>valid</x:v>
      </x:c>
      <x:c r="O9" s="6" t="str">
        <x:v>stop</x:v>
      </x:c>
      <x:c r="P9" s="6" t="n">
        <x:v>0</x:v>
      </x:c>
      <x:c r="Q9" s="6" t="str">
        <x:v>valid</x:v>
      </x:c>
      <x:c r="R9" s="6" t="str">
        <x:v>stop</x:v>
      </x:c>
      <x:c r="S9" s="6" t="n">
        <x:v>0</x:v>
      </x:c>
      <x:c r="T9" s="6" t="str">
        <x:v>valid</x:v>
      </x:c>
      <x:c r="U9" s="6" t="str">
        <x:v>stop</x:v>
      </x:c>
      <x:c r="V9" s="6" t="n">
        <x:v>1</x:v>
      </x:c>
      <x:c r="W9" s="6" t="str">
        <x:v>valid</x:v>
      </x:c>
      <x:c r="X9" s="6" t="str">
        <x:v>stop</x:v>
      </x:c>
      <x:c r="Y9" s="7" t="n">
        <x:v>0</x:v>
      </x:c>
      <x:c r="Z9" s="7" t="n">
        <x:v>0</x:v>
      </x:c>
      <x:c r="AA9" s="7" t="n">
        <x:v>1</x:v>
      </x:c>
      <x:c r="AB9" s="7" t="n">
        <x:v>1</x:v>
      </x:c>
      <x:c r="AC9" s="7" t="n">
        <x:v>0</x:v>
      </x:c>
    </x:row>
    <x:row r="10">
      <x:c r="A10" s="6" t="n">
        <x:v>164</x:v>
      </x:c>
      <x:c r="B10" s="6" t="n">
        <x:v>2</x:v>
      </x:c>
      <x:c r="C10" t="str">
        <x:v>Text-in-General</x:v>
      </x:c>
      <x:c r="D10" s="6" t="n">
        <x:v>1</x:v>
      </x:c>
      <x:c r="E10" s="6" t="str">
        <x:v>valid</x:v>
      </x:c>
      <x:c r="F10" s="6" t="str">
        <x:v>stop</x:v>
      </x:c>
      <x:c r="G10" s="6" t="n">
        <x:v>1</x:v>
      </x:c>
      <x:c r="H10" s="6" t="str">
        <x:v>valid</x:v>
      </x:c>
      <x:c r="I10" s="6" t="str">
        <x:v>stop</x:v>
      </x:c>
      <x:c r="J10" s="6" t="n">
        <x:v>1</x:v>
      </x:c>
      <x:c r="K10" s="6" t="str">
        <x:v>valid</x:v>
      </x:c>
      <x:c r="L10" s="6" t="str">
        <x:v>stop</x:v>
      </x:c>
      <x:c r="M10" s="6" t="n">
        <x:v>1</x:v>
      </x:c>
      <x:c r="N10" s="6" t="str">
        <x:v>valid</x:v>
      </x:c>
      <x:c r="O10" s="6" t="str">
        <x:v>stop</x:v>
      </x:c>
      <x:c r="P10" s="6" t="n">
        <x:v>0</x:v>
      </x:c>
      <x:c r="Q10" s="6" t="str">
        <x:v>truncated</x:v>
      </x:c>
      <x:c r="R10" s="6" t="str">
        <x:v>length</x:v>
      </x:c>
      <x:c r="S10" s="6" t="n">
        <x:v>0</x:v>
      </x:c>
      <x:c r="T10" s="6" t="str">
        <x:v>valid</x:v>
      </x:c>
      <x:c r="U10" s="6" t="str">
        <x:v>stop</x:v>
      </x:c>
      <x:c r="V10" s="6" t="n">
        <x:v>1</x:v>
      </x:c>
      <x:c r="W10" s="6" t="str">
        <x:v>valid</x:v>
      </x:c>
      <x:c r="X10" s="6" t="str">
        <x:v>stop</x:v>
      </x:c>
      <x:c r="Y10" s="7" t="n">
        <x:v>0.3333333333</x:v>
      </x:c>
      <x:c r="Z10" s="7" t="n">
        <x:v>0</x:v>
      </x:c>
      <x:c r="AA10" s="7" t="n">
        <x:v>0</x:v>
      </x:c>
      <x:c r="AB10" s="7" t="n">
        <x:v>0.6666666667</x:v>
      </x:c>
      <x:c r="AC10" s="7" t="n">
        <x:v>0</x:v>
      </x:c>
    </x:row>
    <x:row r="11">
      <x:c r="A11" s="6" t="n">
        <x:v>168</x:v>
      </x:c>
      <x:c r="B11" s="6" t="n">
        <x:v>1</x:v>
      </x:c>
      <x:c r="C11" t="str">
        <x:v>Text-in-Chart</x:v>
      </x:c>
      <x:c r="D11" s="6" t="n">
        <x:v>1</x:v>
      </x:c>
      <x:c r="E11" s="6" t="str">
        <x:v>valid</x:v>
      </x:c>
      <x:c r="F11" s="6" t="str">
        <x:v>stop</x:v>
      </x:c>
      <x:c r="G11" s="6" t="n">
        <x:v>1</x:v>
      </x:c>
      <x:c r="H11" s="6" t="str">
        <x:v>valid</x:v>
      </x:c>
      <x:c r="I11" s="6" t="str">
        <x:v>stop</x:v>
      </x:c>
      <x:c r="J11" s="6" t="n">
        <x:v>0</x:v>
      </x:c>
      <x:c r="K11" s="6" t="str">
        <x:v>truncated</x:v>
      </x:c>
      <x:c r="L11" s="6" t="str">
        <x:v>length</x:v>
      </x:c>
      <x:c r="M11" s="6" t="n">
        <x:v>0</x:v>
      </x:c>
      <x:c r="N11" s="6" t="str">
        <x:v>truncated</x:v>
      </x:c>
      <x:c r="O11" s="6" t="str">
        <x:v>length</x:v>
      </x:c>
      <x:c r="P11" s="6" t="n">
        <x:v>0</x:v>
      </x:c>
      <x:c r="Q11" s="6" t="str">
        <x:v>valid</x:v>
      </x:c>
      <x:c r="R11" s="6" t="str">
        <x:v>stop</x:v>
      </x:c>
      <x:c r="S11" s="6" t="n">
        <x:v>0</x:v>
      </x:c>
      <x:c r="T11" s="6" t="str">
        <x:v>valid</x:v>
      </x:c>
      <x:c r="U11" s="6" t="str">
        <x:v>stop</x:v>
      </x:c>
      <x:c r="V11" s="6" t="n">
        <x:v>1</x:v>
      </x:c>
      <x:c r="W11" s="6" t="str">
        <x:v>valid</x:v>
      </x:c>
      <x:c r="X11" s="6" t="str">
        <x:v>stop</x:v>
      </x:c>
      <x:c r="Y11" s="7" t="n">
        <x:v>0</x:v>
      </x:c>
      <x:c r="Z11" s="7" t="n">
        <x:v>0</x:v>
      </x:c>
      <x:c r="AA11" s="7" t="n">
        <x:v>1</x:v>
      </x:c>
      <x:c r="AB11" s="7" t="n">
        <x:v>1</x:v>
      </x:c>
      <x:c r="AC11" s="7" t="n">
        <x:v>0</x:v>
      </x:c>
    </x:row>
    <x:row r="12">
      <x:c r="A12" s="6" t="n">
        <x:v>238</x:v>
      </x:c>
      <x:c r="B12" s="6" t="n">
        <x:v>1</x:v>
      </x:c>
      <x:c r="C12" t="str">
        <x:v>Text-in-Chart</x:v>
      </x:c>
      <x:c r="D12" s="6" t="n">
        <x:v>1</x:v>
      </x:c>
      <x:c r="E12" s="6" t="str">
        <x:v>valid</x:v>
      </x:c>
      <x:c r="F12" s="6" t="str">
        <x:v>stop</x:v>
      </x:c>
      <x:c r="G12" s="6" t="n">
        <x:v>1</x:v>
      </x:c>
      <x:c r="H12" s="6" t="str">
        <x:v>valid</x:v>
      </x:c>
      <x:c r="I12" s="6" t="str">
        <x:v>stop</x:v>
      </x:c>
      <x:c r="J12" s="6" t="n">
        <x:v>0</x:v>
      </x:c>
      <x:c r="K12" s="6" t="str">
        <x:v>valid</x:v>
      </x:c>
      <x:c r="L12" s="6" t="str">
        <x:v>stop</x:v>
      </x:c>
      <x:c r="M12" s="6" t="n">
        <x:v>0</x:v>
      </x:c>
      <x:c r="N12" s="6" t="str">
        <x:v>valid</x:v>
      </x:c>
      <x:c r="O12" s="6" t="str">
        <x:v>stop</x:v>
      </x:c>
      <x:c r="P12" s="6" t="n">
        <x:v>0</x:v>
      </x:c>
      <x:c r="Q12" s="6" t="str">
        <x:v>valid</x:v>
      </x:c>
      <x:c r="R12" s="6" t="str">
        <x:v>stop</x:v>
      </x:c>
      <x:c r="S12" s="6" t="n">
        <x:v>0</x:v>
      </x:c>
      <x:c r="T12" s="6" t="str">
        <x:v>valid</x:v>
      </x:c>
      <x:c r="U12" s="6" t="str">
        <x:v>stop</x:v>
      </x:c>
      <x:c r="V12" s="6" t="n">
        <x:v>1</x:v>
      </x:c>
      <x:c r="W12" s="6" t="str">
        <x:v>valid</x:v>
      </x:c>
      <x:c r="X12" s="6" t="str">
        <x:v>stop</x:v>
      </x:c>
      <x:c r="Y12" s="7" t="n">
        <x:v>0</x:v>
      </x:c>
      <x:c r="Z12" s="7" t="n">
        <x:v>0</x:v>
      </x:c>
      <x:c r="AA12" s="7" t="n">
        <x:v>1</x:v>
      </x:c>
      <x:c r="AB12" s="7" t="n">
        <x:v>1</x:v>
      </x:c>
      <x:c r="AC12" s="7" t="n">
        <x:v>0</x:v>
      </x:c>
    </x:row>
    <x:row r="13">
      <x:c r="A13" s="6" t="n">
        <x:v>244</x:v>
      </x:c>
      <x:c r="B13" s="6" t="n">
        <x:v>4</x:v>
      </x:c>
      <x:c r="C13" t="str">
        <x:v>Number-in-General</x:v>
      </x:c>
      <x:c r="D13" s="6" t="n">
        <x:v>0</x:v>
      </x:c>
      <x:c r="E13" s="6" t="str">
        <x:v>truncated</x:v>
      </x:c>
      <x:c r="F13" s="6" t="str">
        <x:v>length</x:v>
      </x:c>
      <x:c r="G13" s="6" t="n">
        <x:v>0</x:v>
      </x:c>
      <x:c r="H13" s="6" t="str">
        <x:v>truncated</x:v>
      </x:c>
      <x:c r="I13" s="6" t="str">
        <x:v>length</x:v>
      </x:c>
      <x:c r="J13" s="6" t="n">
        <x:v>0</x:v>
      </x:c>
      <x:c r="K13" s="6" t="str">
        <x:v>truncated</x:v>
      </x:c>
      <x:c r="L13" s="6" t="str">
        <x:v>length</x:v>
      </x:c>
      <x:c r="M13" s="6" t="n">
        <x:v>0</x:v>
      </x:c>
      <x:c r="N13" s="6" t="str">
        <x:v>truncated</x:v>
      </x:c>
      <x:c r="O13" s="6" t="str">
        <x:v>length</x:v>
      </x:c>
      <x:c r="P13" s="6" t="n">
        <x:v>0</x:v>
      </x:c>
      <x:c r="Q13" s="6" t="str">
        <x:v>truncated</x:v>
      </x:c>
      <x:c r="R13" s="6" t="str">
        <x:v>length</x:v>
      </x:c>
      <x:c r="S13" s="6" t="n">
        <x:v>0</x:v>
      </x:c>
      <x:c r="T13" s="6" t="str">
        <x:v>truncated</x:v>
      </x:c>
      <x:c r="U13" s="6" t="str">
        <x:v>length</x:v>
      </x:c>
      <x:c r="V13" s="6" t="n">
        <x:v>0</x:v>
      </x:c>
      <x:c r="W13" s="6" t="str">
        <x:v>valid</x:v>
      </x:c>
      <x:c r="X13" s="6" t="str">
        <x:v>stop</x:v>
      </x:c>
      <x:c r="Y13" s="7" t="n">
        <x:v>0</x:v>
      </x:c>
      <x:c r="Z13" s="7" t="n">
        <x:v>0</x:v>
      </x:c>
      <x:c r="AA13" s="7" t="n">
        <x:v>0</x:v>
      </x:c>
      <x:c r="AB13" s="7" t="n">
        <x:v>0</x:v>
      </x:c>
      <x:c r="AC13" s="7" t="n">
        <x:v>0</x:v>
      </x:c>
    </x:row>
    <x:row r="14">
      <x:c r="A14" s="6" t="n">
        <x:v>254</x:v>
      </x:c>
      <x:c r="B14" s="6" t="n">
        <x:v>1</x:v>
      </x:c>
      <x:c r="C14" t="str">
        <x:v>Text-in-Chart</x:v>
      </x:c>
      <x:c r="D14" s="6" t="n">
        <x:v>1</x:v>
      </x:c>
      <x:c r="E14" s="6" t="str">
        <x:v>valid</x:v>
      </x:c>
      <x:c r="F14" s="6" t="str">
        <x:v>stop</x:v>
      </x:c>
      <x:c r="G14" s="6" t="n">
        <x:v>1</x:v>
      </x:c>
      <x:c r="H14" s="6" t="str">
        <x:v>valid</x:v>
      </x:c>
      <x:c r="I14" s="6" t="str">
        <x:v>stop</x:v>
      </x:c>
      <x:c r="J14" s="6" t="n">
        <x:v>0</x:v>
      </x:c>
      <x:c r="K14" s="6" t="str">
        <x:v>truncated</x:v>
      </x:c>
      <x:c r="L14" s="6" t="str">
        <x:v>length</x:v>
      </x:c>
      <x:c r="M14" s="6" t="n">
        <x:v>0</x:v>
      </x:c>
      <x:c r="N14" s="6" t="str">
        <x:v>truncated</x:v>
      </x:c>
      <x:c r="O14" s="6" t="str">
        <x:v>length</x:v>
      </x:c>
      <x:c r="P14" s="6" t="n">
        <x:v>0</x:v>
      </x:c>
      <x:c r="Q14" s="6" t="str">
        <x:v>truncated</x:v>
      </x:c>
      <x:c r="R14" s="6" t="str">
        <x:v>length</x:v>
      </x:c>
      <x:c r="S14" s="6" t="n">
        <x:v>0</x:v>
      </x:c>
      <x:c r="T14" s="6" t="str">
        <x:v>truncated</x:v>
      </x:c>
      <x:c r="U14" s="6" t="str">
        <x:v>length</x:v>
      </x:c>
      <x:c r="V14" s="6" t="n">
        <x:v>1</x:v>
      </x:c>
      <x:c r="W14" s="6" t="str">
        <x:v>valid</x:v>
      </x:c>
      <x:c r="X14" s="6" t="str">
        <x:v>stop</x:v>
      </x:c>
      <x:c r="Y14" s="7" t="n">
        <x:v>0</x:v>
      </x:c>
      <x:c r="Z14" s="7" t="n">
        <x:v>0</x:v>
      </x:c>
      <x:c r="AA14" s="7" t="n">
        <x:v>1</x:v>
      </x:c>
      <x:c r="AB14" s="7" t="n">
        <x:v>1</x:v>
      </x:c>
      <x:c r="AC14" s="7" t="n">
        <x:v>0</x:v>
      </x:c>
    </x:row>
    <x:row r="15">
      <x:c r="A15" s="6" t="n">
        <x:v>270</x:v>
      </x:c>
      <x:c r="B15" s="6" t="n">
        <x:v>1</x:v>
      </x:c>
      <x:c r="C15" t="str">
        <x:v>Text-in-Chart</x:v>
      </x:c>
      <x:c r="D15" s="6" t="n">
        <x:v>1</x:v>
      </x:c>
      <x:c r="E15" s="6" t="str">
        <x:v>valid</x:v>
      </x:c>
      <x:c r="F15" s="6" t="str">
        <x:v>stop</x:v>
      </x:c>
      <x:c r="G15" s="6" t="n">
        <x:v>1</x:v>
      </x:c>
      <x:c r="H15" s="6" t="str">
        <x:v>valid</x:v>
      </x:c>
      <x:c r="I15" s="6" t="str">
        <x:v>stop</x:v>
      </x:c>
      <x:c r="J15" s="6" t="n">
        <x:v>0</x:v>
      </x:c>
      <x:c r="K15" s="6" t="str">
        <x:v>valid</x:v>
      </x:c>
      <x:c r="L15" s="6" t="str">
        <x:v>stop</x:v>
      </x:c>
      <x:c r="M15" s="6" t="n">
        <x:v>0</x:v>
      </x:c>
      <x:c r="N15" s="6" t="str">
        <x:v>valid</x:v>
      </x:c>
      <x:c r="O15" s="6" t="str">
        <x:v>stop</x:v>
      </x:c>
      <x:c r="P15" s="6" t="n">
        <x:v>0</x:v>
      </x:c>
      <x:c r="Q15" s="6" t="str">
        <x:v>truncated</x:v>
      </x:c>
      <x:c r="R15" s="6" t="str">
        <x:v>length</x:v>
      </x:c>
      <x:c r="S15" s="6" t="n">
        <x:v>0</x:v>
      </x:c>
      <x:c r="T15" s="6" t="str">
        <x:v>valid</x:v>
      </x:c>
      <x:c r="U15" s="6" t="str">
        <x:v>stop</x:v>
      </x:c>
      <x:c r="V15" s="6" t="n">
        <x:v>1</x:v>
      </x:c>
      <x:c r="W15" s="6" t="str">
        <x:v>valid</x:v>
      </x:c>
      <x:c r="X15" s="6" t="str">
        <x:v>stop</x:v>
      </x:c>
      <x:c r="Y15" s="7" t="n">
        <x:v>0</x:v>
      </x:c>
      <x:c r="Z15" s="7" t="n">
        <x:v>0</x:v>
      </x:c>
      <x:c r="AA15" s="7" t="n">
        <x:v>1</x:v>
      </x:c>
      <x:c r="AB15" s="7" t="n">
        <x:v>1</x:v>
      </x:c>
      <x:c r="AC15" s="7" t="n">
        <x:v>0</x:v>
      </x:c>
    </x:row>
    <x:row r="16">
      <x:c r="A16" s="6" t="n">
        <x:v>279</x:v>
      </x:c>
      <x:c r="B16" s="6" t="n">
        <x:v>4</x:v>
      </x:c>
      <x:c r="C16" t="str">
        <x:v>Number-in-General</x:v>
      </x:c>
      <x:c r="D16" s="6" t="n">
        <x:v>1</x:v>
      </x:c>
      <x:c r="E16" s="6" t="str">
        <x:v>valid</x:v>
      </x:c>
      <x:c r="F16" s="6" t="str">
        <x:v>stop</x:v>
      </x:c>
      <x:c r="G16" s="6" t="n">
        <x:v>1</x:v>
      </x:c>
      <x:c r="H16" s="6" t="str">
        <x:v>valid</x:v>
      </x:c>
      <x:c r="I16" s="6" t="str">
        <x:v>stop</x:v>
      </x:c>
      <x:c r="J16" s="6" t="n">
        <x:v>0</x:v>
      </x:c>
      <x:c r="K16" s="6" t="str">
        <x:v>truncated</x:v>
      </x:c>
      <x:c r="L16" s="6" t="str">
        <x:v>length</x:v>
      </x:c>
      <x:c r="M16" s="6" t="n">
        <x:v>0</x:v>
      </x:c>
      <x:c r="N16" s="6" t="str">
        <x:v>valid</x:v>
      </x:c>
      <x:c r="O16" s="6" t="str">
        <x:v>stop</x:v>
      </x:c>
      <x:c r="P16" s="6" t="n">
        <x:v>0</x:v>
      </x:c>
      <x:c r="Q16" s="6" t="str">
        <x:v>valid</x:v>
      </x:c>
      <x:c r="R16" s="6" t="str">
        <x:v>stop</x:v>
      </x:c>
      <x:c r="S16" s="6" t="n">
        <x:v>0</x:v>
      </x:c>
      <x:c r="T16" s="6" t="str">
        <x:v>valid</x:v>
      </x:c>
      <x:c r="U16" s="6" t="str">
        <x:v>stop</x:v>
      </x:c>
      <x:c r="V16" s="6" t="n">
        <x:v>1</x:v>
      </x:c>
      <x:c r="W16" s="6" t="str">
        <x:v>valid</x:v>
      </x:c>
      <x:c r="X16" s="6" t="str">
        <x:v>stop</x:v>
      </x:c>
      <x:c r="Y16" s="7" t="n">
        <x:v>0</x:v>
      </x:c>
      <x:c r="Z16" s="7" t="n">
        <x:v>0</x:v>
      </x:c>
      <x:c r="AA16" s="7" t="n">
        <x:v>1</x:v>
      </x:c>
      <x:c r="AB16" s="7" t="n">
        <x:v>1</x:v>
      </x:c>
      <x:c r="AC16" s="7" t="n">
        <x:v>0</x:v>
      </x:c>
    </x:row>
    <x:row r="17">
      <x:c r="A17" s="6" t="n">
        <x:v>291</x:v>
      </x:c>
      <x:c r="B17" s="6" t="n">
        <x:v>3</x:v>
      </x:c>
      <x:c r="C17" t="str">
        <x:v>Number-in-Chart</x:v>
      </x:c>
      <x:c r="D17" s="6" t="n">
        <x:v>0</x:v>
      </x:c>
      <x:c r="E17" s="6" t="str">
        <x:v>valid</x:v>
      </x:c>
      <x:c r="F17" s="6" t="str">
        <x:v>stop</x:v>
      </x:c>
      <x:c r="G17" s="6" t="n">
        <x:v>0</x:v>
      </x:c>
      <x:c r="H17" s="6" t="str">
        <x:v>truncated</x:v>
      </x:c>
      <x:c r="I17" s="6" t="str">
        <x:v>length</x:v>
      </x:c>
      <x:c r="J17" s="6" t="n">
        <x:v>0</x:v>
      </x:c>
      <x:c r="K17" s="6" t="str">
        <x:v>truncated</x:v>
      </x:c>
      <x:c r="L17" s="6" t="str">
        <x:v>length</x:v>
      </x:c>
      <x:c r="M17" s="6" t="n">
        <x:v>0</x:v>
      </x:c>
      <x:c r="N17" s="6" t="str">
        <x:v>valid</x:v>
      </x:c>
      <x:c r="O17" s="6" t="str">
        <x:v>stop</x:v>
      </x:c>
      <x:c r="P17" s="6" t="n">
        <x:v>0</x:v>
      </x:c>
      <x:c r="Q17" s="6" t="str">
        <x:v>truncated</x:v>
      </x:c>
      <x:c r="R17" s="6" t="str">
        <x:v>length</x:v>
      </x:c>
      <x:c r="S17" s="6" t="n">
        <x:v>0</x:v>
      </x:c>
      <x:c r="T17" s="6" t="str">
        <x:v>valid</x:v>
      </x:c>
      <x:c r="U17" s="6" t="str">
        <x:v>stop</x:v>
      </x:c>
      <x:c r="V17" s="6" t="n">
        <x:v>0</x:v>
      </x:c>
      <x:c r="W17" s="6" t="str">
        <x:v>valid</x:v>
      </x:c>
      <x:c r="X17" s="6" t="str">
        <x:v>stop</x:v>
      </x:c>
      <x:c r="Y17" s="7" t="n">
        <x:v>0</x:v>
      </x:c>
      <x:c r="Z17" s="7" t="n">
        <x:v>0</x:v>
      </x:c>
      <x:c r="AA17" s="7" t="n">
        <x:v>0</x:v>
      </x:c>
      <x:c r="AB17" s="7" t="n">
        <x:v>0</x:v>
      </x:c>
      <x:c r="AC17" s="7" t="n">
        <x:v>0</x:v>
      </x:c>
    </x:row>
    <x:row r="18">
      <x:c r="A18" s="6" t="n">
        <x:v>324</x:v>
      </x:c>
      <x:c r="B18" s="6" t="n">
        <x:v>3</x:v>
      </x:c>
      <x:c r="C18" t="str">
        <x:v>Number-in-Chart</x:v>
      </x:c>
      <x:c r="D18" s="6" t="n">
        <x:v>1</x:v>
      </x:c>
      <x:c r="E18" s="6" t="str">
        <x:v>valid</x:v>
      </x:c>
      <x:c r="F18" s="6" t="str">
        <x:v>stop</x:v>
      </x:c>
      <x:c r="G18" s="6" t="n">
        <x:v>1</x:v>
      </x:c>
      <x:c r="H18" s="6" t="str">
        <x:v>valid</x:v>
      </x:c>
      <x:c r="I18" s="6" t="str">
        <x:v>stop</x:v>
      </x:c>
      <x:c r="J18" s="6" t="n">
        <x:v>0</x:v>
      </x:c>
      <x:c r="K18" s="6" t="str">
        <x:v>truncated</x:v>
      </x:c>
      <x:c r="L18" s="6" t="str">
        <x:v>length</x:v>
      </x:c>
      <x:c r="M18" s="6" t="n">
        <x:v>0</x:v>
      </x:c>
      <x:c r="N18" s="6" t="str">
        <x:v>truncated</x:v>
      </x:c>
      <x:c r="O18" s="6" t="str">
        <x:v>length</x:v>
      </x:c>
      <x:c r="P18" s="6" t="n">
        <x:v>1</x:v>
      </x:c>
      <x:c r="Q18" s="6" t="str">
        <x:v>valid</x:v>
      </x:c>
      <x:c r="R18" s="6" t="str">
        <x:v>stop</x:v>
      </x:c>
      <x:c r="S18" s="6" t="n">
        <x:v>0</x:v>
      </x:c>
      <x:c r="T18" s="6" t="str">
        <x:v>valid</x:v>
      </x:c>
      <x:c r="U18" s="6" t="str">
        <x:v>stop</x:v>
      </x:c>
      <x:c r="V18" s="6" t="n">
        <x:v>1</x:v>
      </x:c>
      <x:c r="W18" s="6" t="str">
        <x:v>valid</x:v>
      </x:c>
      <x:c r="X18" s="6" t="str">
        <x:v>stop</x:v>
      </x:c>
      <x:c r="Y18" s="7" t="n">
        <x:v>0.3333333333</x:v>
      </x:c>
      <x:c r="Z18" s="7" t="n">
        <x:v>0</x:v>
      </x:c>
      <x:c r="AA18" s="7" t="n">
        <x:v>1</x:v>
      </x:c>
      <x:c r="AB18" s="7" t="n">
        <x:v>0.6666666667</x:v>
      </x:c>
      <x:c r="AC18" s="7" t="n">
        <x:v>0</x:v>
      </x:c>
    </x:row>
    <x:row r="19">
      <x:c r="A19" s="6" t="n">
        <x:v>346</x:v>
      </x:c>
      <x:c r="B19" s="6" t="n">
        <x:v>4</x:v>
      </x:c>
      <x:c r="C19" t="str">
        <x:v>Number-in-General</x:v>
      </x:c>
      <x:c r="D19" s="6" t="n">
        <x:v>1</x:v>
      </x:c>
      <x:c r="E19" s="6" t="str">
        <x:v>valid</x:v>
      </x:c>
      <x:c r="F19" s="6" t="str">
        <x:v>stop</x:v>
      </x:c>
      <x:c r="G19" s="6" t="n">
        <x:v>0</x:v>
      </x:c>
      <x:c r="H19" s="6" t="str">
        <x:v>valid</x:v>
      </x:c>
      <x:c r="I19" s="6" t="str">
        <x:v>stop</x:v>
      </x:c>
      <x:c r="J19" s="6" t="n">
        <x:v>1</x:v>
      </x:c>
      <x:c r="K19" s="6" t="str">
        <x:v>valid</x:v>
      </x:c>
      <x:c r="L19" s="6" t="str">
        <x:v>stop</x:v>
      </x:c>
      <x:c r="M19" s="6" t="n">
        <x:v>0</x:v>
      </x:c>
      <x:c r="N19" s="6" t="str">
        <x:v>valid</x:v>
      </x:c>
      <x:c r="O19" s="6" t="str">
        <x:v>stop</x:v>
      </x:c>
      <x:c r="P19" s="6" t="n">
        <x:v>0</x:v>
      </x:c>
      <x:c r="Q19" s="6" t="str">
        <x:v>valid</x:v>
      </x:c>
      <x:c r="R19" s="6" t="str">
        <x:v>stop</x:v>
      </x:c>
      <x:c r="S19" s="6" t="n">
        <x:v>0</x:v>
      </x:c>
      <x:c r="T19" s="6" t="str">
        <x:v>truncated</x:v>
      </x:c>
      <x:c r="U19" s="6" t="str">
        <x:v>length</x:v>
      </x:c>
      <x:c r="V19" s="6" t="n">
        <x:v>0</x:v>
      </x:c>
      <x:c r="W19" s="6" t="str">
        <x:v>valid</x:v>
      </x:c>
      <x:c r="X19" s="6" t="str">
        <x:v>stop</x:v>
      </x:c>
      <x:c r="Y19" s="7" t="n">
        <x:v>0</x:v>
      </x:c>
      <x:c r="Z19" s="7" t="n">
        <x:v>-1</x:v>
      </x:c>
      <x:c r="AA19" s="7" t="n">
        <x:v>0</x:v>
      </x:c>
      <x:c r="AB19" s="7" t="n">
        <x:v>0</x:v>
      </x:c>
      <x:c r="AC19" s="7" t="n">
        <x:v>0</x:v>
      </x:c>
    </x:row>
    <x:row r="20">
      <x:c r="A20" s="6" t="n">
        <x:v>397</x:v>
      </x:c>
      <x:c r="B20" s="6" t="n">
        <x:v>1</x:v>
      </x:c>
      <x:c r="C20" t="str">
        <x:v>Text-in-Chart</x:v>
      </x:c>
      <x:c r="D20" s="6" t="n">
        <x:v>1</x:v>
      </x:c>
      <x:c r="E20" s="6" t="str">
        <x:v>valid</x:v>
      </x:c>
      <x:c r="F20" s="6" t="str">
        <x:v>stop</x:v>
      </x:c>
      <x:c r="G20" s="6" t="n">
        <x:v>1</x:v>
      </x:c>
      <x:c r="H20" s="6" t="str">
        <x:v>valid</x:v>
      </x:c>
      <x:c r="I20" s="6" t="str">
        <x:v>stop</x:v>
      </x:c>
      <x:c r="J20" s="6" t="n">
        <x:v>0</x:v>
      </x:c>
      <x:c r="K20" s="6" t="str">
        <x:v>truncated</x:v>
      </x:c>
      <x:c r="L20" s="6" t="str">
        <x:v>length</x:v>
      </x:c>
      <x:c r="M20" s="6" t="n">
        <x:v>0</x:v>
      </x:c>
      <x:c r="N20" s="6" t="str">
        <x:v>truncated</x:v>
      </x:c>
      <x:c r="O20" s="6" t="str">
        <x:v>length</x:v>
      </x:c>
      <x:c r="P20" s="6" t="n">
        <x:v>0</x:v>
      </x:c>
      <x:c r="Q20" s="6" t="str">
        <x:v>valid</x:v>
      </x:c>
      <x:c r="R20" s="6" t="str">
        <x:v>stop</x:v>
      </x:c>
      <x:c r="S20" s="6" t="n">
        <x:v>0</x:v>
      </x:c>
      <x:c r="T20" s="6" t="str">
        <x:v>truncated</x:v>
      </x:c>
      <x:c r="U20" s="6" t="str">
        <x:v>length</x:v>
      </x:c>
      <x:c r="V20" s="6" t="n">
        <x:v>1</x:v>
      </x:c>
      <x:c r="W20" s="6" t="str">
        <x:v>valid</x:v>
      </x:c>
      <x:c r="X20" s="6" t="str">
        <x:v>stop</x:v>
      </x:c>
      <x:c r="Y20" s="7" t="n">
        <x:v>0</x:v>
      </x:c>
      <x:c r="Z20" s="7" t="n">
        <x:v>0</x:v>
      </x:c>
      <x:c r="AA20" s="7" t="n">
        <x:v>1</x:v>
      </x:c>
      <x:c r="AB20" s="7" t="n">
        <x:v>1</x:v>
      </x:c>
      <x:c r="AC20" s="7" t="n">
        <x:v>0</x:v>
      </x:c>
    </x:row>
    <x:row r="21">
      <x:c r="A21" s="6" t="n">
        <x:v>407</x:v>
      </x:c>
      <x:c r="B21" s="6" t="n">
        <x:v>2</x:v>
      </x:c>
      <x:c r="C21" t="str">
        <x:v>Text-in-General</x:v>
      </x:c>
      <x:c r="D21" s="6" t="n">
        <x:v>0</x:v>
      </x:c>
      <x:c r="E21" s="6" t="str">
        <x:v>truncated</x:v>
      </x:c>
      <x:c r="F21" s="6" t="str">
        <x:v>length</x:v>
      </x:c>
      <x:c r="G21" s="6" t="n">
        <x:v>1</x:v>
      </x:c>
      <x:c r="H21" s="6" t="str">
        <x:v>valid</x:v>
      </x:c>
      <x:c r="I21" s="6" t="str">
        <x:v>stop</x:v>
      </x:c>
      <x:c r="J21" s="6" t="n">
        <x:v>0</x:v>
      </x:c>
      <x:c r="K21" s="6" t="str">
        <x:v>truncated</x:v>
      </x:c>
      <x:c r="L21" s="6" t="str">
        <x:v>length</x:v>
      </x:c>
      <x:c r="M21" s="6" t="n">
        <x:v>0</x:v>
      </x:c>
      <x:c r="N21" s="6" t="str">
        <x:v>valid</x:v>
      </x:c>
      <x:c r="O21" s="6" t="str">
        <x:v>stop</x:v>
      </x:c>
      <x:c r="P21" s="6" t="n">
        <x:v>0</x:v>
      </x:c>
      <x:c r="Q21" s="6" t="str">
        <x:v>valid</x:v>
      </x:c>
      <x:c r="R21" s="6" t="str">
        <x:v>stop</x:v>
      </x:c>
      <x:c r="S21" s="6" t="n">
        <x:v>0</x:v>
      </x:c>
      <x:c r="T21" s="6" t="str">
        <x:v>truncated</x:v>
      </x:c>
      <x:c r="U21" s="6" t="str">
        <x:v>length</x:v>
      </x:c>
      <x:c r="V21" s="6" t="n">
        <x:v>1</x:v>
      </x:c>
      <x:c r="W21" s="6" t="str">
        <x:v>valid</x:v>
      </x:c>
      <x:c r="X21" s="6" t="str">
        <x:v>stop</x:v>
      </x:c>
      <x:c r="Y21" s="7" t="n">
        <x:v>0</x:v>
      </x:c>
      <x:c r="Z21" s="7" t="n">
        <x:v>1</x:v>
      </x:c>
      <x:c r="AA21" s="7" t="n">
        <x:v>0</x:v>
      </x:c>
      <x:c r="AB21" s="7" t="n">
        <x:v>1</x:v>
      </x:c>
      <x:c r="AC21" s="7" t="n">
        <x:v>0</x:v>
      </x:c>
    </x:row>
    <x:row r="22">
      <x:c r="A22" s="6" t="n">
        <x:v>436</x:v>
      </x:c>
      <x:c r="B22" s="6" t="n">
        <x:v>4</x:v>
      </x:c>
      <x:c r="C22" t="str">
        <x:v>Number-in-General</x:v>
      </x:c>
      <x:c r="D22" s="6" t="n">
        <x:v>0</x:v>
      </x:c>
      <x:c r="E22" s="6" t="str">
        <x:v>truncated</x:v>
      </x:c>
      <x:c r="F22" s="6" t="str">
        <x:v>length</x:v>
      </x:c>
      <x:c r="G22" s="6" t="n">
        <x:v>1</x:v>
      </x:c>
      <x:c r="H22" s="6" t="str">
        <x:v>valid</x:v>
      </x:c>
      <x:c r="I22" s="6" t="str">
        <x:v>stop</x:v>
      </x:c>
      <x:c r="J22" s="6" t="n">
        <x:v>0</x:v>
      </x:c>
      <x:c r="K22" s="6" t="str">
        <x:v>valid</x:v>
      </x:c>
      <x:c r="L22" s="6" t="str">
        <x:v>stop</x:v>
      </x:c>
      <x:c r="M22" s="6" t="n">
        <x:v>0</x:v>
      </x:c>
      <x:c r="N22" s="6" t="str">
        <x:v>valid</x:v>
      </x:c>
      <x:c r="O22" s="6" t="str">
        <x:v>stop</x:v>
      </x:c>
      <x:c r="P22" s="6" t="n">
        <x:v>0</x:v>
      </x:c>
      <x:c r="Q22" s="6" t="str">
        <x:v>valid</x:v>
      </x:c>
      <x:c r="R22" s="6" t="str">
        <x:v>stop</x:v>
      </x:c>
      <x:c r="S22" s="6" t="n">
        <x:v>0</x:v>
      </x:c>
      <x:c r="T22" s="6" t="str">
        <x:v>valid</x:v>
      </x:c>
      <x:c r="U22" s="6" t="str">
        <x:v>stop</x:v>
      </x:c>
      <x:c r="V22" s="6" t="n">
        <x:v>0</x:v>
      </x:c>
      <x:c r="W22" s="6" t="str">
        <x:v>truncated</x:v>
      </x:c>
      <x:c r="X22" s="6" t="str">
        <x:v>length</x:v>
      </x:c>
      <x:c r="Y22" s="7" t="n">
        <x:v>0</x:v>
      </x:c>
      <x:c r="Z22" s="7" t="n">
        <x:v>1</x:v>
      </x:c>
      <x:c r="AA22" s="7" t="n">
        <x:v>0</x:v>
      </x:c>
      <x:c r="AB22" s="7" t="n">
        <x:v>1</x:v>
      </x:c>
      <x:c r="AC22" s="7" t="n">
        <x:v>-1</x:v>
      </x:c>
    </x:row>
    <x:row r="23">
      <x:c r="A23" s="6" t="n">
        <x:v>547</x:v>
      </x:c>
      <x:c r="B23" s="6" t="n">
        <x:v>3</x:v>
      </x:c>
      <x:c r="C23" t="str">
        <x:v>Number-in-Chart</x:v>
      </x:c>
      <x:c r="D23" s="6" t="n">
        <x:v>1</x:v>
      </x:c>
      <x:c r="E23" s="6" t="str">
        <x:v>valid</x:v>
      </x:c>
      <x:c r="F23" s="6" t="str">
        <x:v>stop</x:v>
      </x:c>
      <x:c r="G23" s="6" t="n">
        <x:v>0</x:v>
      </x:c>
      <x:c r="H23" s="6" t="str">
        <x:v>truncated</x:v>
      </x:c>
      <x:c r="I23" s="6" t="str">
        <x:v>length</x:v>
      </x:c>
      <x:c r="J23" s="6" t="n">
        <x:v>0</x:v>
      </x:c>
      <x:c r="K23" s="6" t="str">
        <x:v>valid</x:v>
      </x:c>
      <x:c r="L23" s="6" t="str">
        <x:v>stop</x:v>
      </x:c>
      <x:c r="M23" s="6" t="n">
        <x:v>0</x:v>
      </x:c>
      <x:c r="N23" s="6" t="str">
        <x:v>valid</x:v>
      </x:c>
      <x:c r="O23" s="6" t="str">
        <x:v>stop</x:v>
      </x:c>
      <x:c r="P23" s="6" t="n">
        <x:v>0</x:v>
      </x:c>
      <x:c r="Q23" s="6" t="str">
        <x:v>truncated</x:v>
      </x:c>
      <x:c r="R23" s="6" t="str">
        <x:v>length</x:v>
      </x:c>
      <x:c r="S23" s="6" t="n">
        <x:v>0</x:v>
      </x:c>
      <x:c r="T23" s="6" t="str">
        <x:v>valid</x:v>
      </x:c>
      <x:c r="U23" s="6" t="str">
        <x:v>stop</x:v>
      </x:c>
      <x:c r="V23" s="6" t="n">
        <x:v>1</x:v>
      </x:c>
      <x:c r="W23" s="6" t="str">
        <x:v>valid</x:v>
      </x:c>
      <x:c r="X23" s="6" t="str">
        <x:v>stop</x:v>
      </x:c>
      <x:c r="Y23" s="7" t="n">
        <x:v>0</x:v>
      </x:c>
      <x:c r="Z23" s="7" t="n">
        <x:v>-1</x:v>
      </x:c>
      <x:c r="AA23" s="7" t="n">
        <x:v>1</x:v>
      </x:c>
      <x:c r="AB23" s="7" t="n">
        <x:v>0</x:v>
      </x:c>
      <x:c r="AC23" s="7" t="n">
        <x:v>1</x:v>
      </x:c>
    </x:row>
    <x:row r="24">
      <x:c r="A24" s="6" t="n">
        <x:v>554</x:v>
      </x:c>
      <x:c r="B24" s="6" t="n">
        <x:v>1</x:v>
      </x:c>
      <x:c r="C24" t="str">
        <x:v>Text-in-Chart</x:v>
      </x:c>
      <x:c r="D24" s="6" t="n">
        <x:v>1</x:v>
      </x:c>
      <x:c r="E24" s="6" t="str">
        <x:v>valid</x:v>
      </x:c>
      <x:c r="F24" s="6" t="str">
        <x:v>stop</x:v>
      </x:c>
      <x:c r="G24" s="6" t="n">
        <x:v>1</x:v>
      </x:c>
      <x:c r="H24" s="6" t="str">
        <x:v>valid</x:v>
      </x:c>
      <x:c r="I24" s="6" t="str">
        <x:v>stop</x:v>
      </x:c>
      <x:c r="J24" s="6" t="n">
        <x:v>1</x:v>
      </x:c>
      <x:c r="K24" s="6" t="str">
        <x:v>valid</x:v>
      </x:c>
      <x:c r="L24" s="6" t="str">
        <x:v>stop</x:v>
      </x:c>
      <x:c r="M24" s="6" t="n">
        <x:v>0</x:v>
      </x:c>
      <x:c r="N24" s="6" t="str">
        <x:v>valid</x:v>
      </x:c>
      <x:c r="O24" s="6" t="str">
        <x:v>stop</x:v>
      </x:c>
      <x:c r="P24" s="6" t="n">
        <x:v>0</x:v>
      </x:c>
      <x:c r="Q24" s="6" t="str">
        <x:v>truncated</x:v>
      </x:c>
      <x:c r="R24" s="6" t="str">
        <x:v>length</x:v>
      </x:c>
      <x:c r="S24" s="6" t="n">
        <x:v>0</x:v>
      </x:c>
      <x:c r="T24" s="6" t="str">
        <x:v>valid</x:v>
      </x:c>
      <x:c r="U24" s="6" t="str">
        <x:v>stop</x:v>
      </x:c>
      <x:c r="V24" s="6" t="n">
        <x:v>1</x:v>
      </x:c>
      <x:c r="W24" s="6" t="str">
        <x:v>valid</x:v>
      </x:c>
      <x:c r="X24" s="6" t="str">
        <x:v>stop</x:v>
      </x:c>
      <x:c r="Y24" s="7" t="n">
        <x:v>0</x:v>
      </x:c>
      <x:c r="Z24" s="7" t="n">
        <x:v>0</x:v>
      </x:c>
      <x:c r="AA24" s="7" t="n">
        <x:v>0</x:v>
      </x:c>
      <x:c r="AB24" s="7" t="n">
        <x:v>1</x:v>
      </x:c>
      <x:c r="AC24" s="7" t="n">
        <x:v>0</x:v>
      </x:c>
    </x:row>
    <x:row r="25">
      <x:c r="A25" s="6" t="n">
        <x:v>608</x:v>
      </x:c>
      <x:c r="B25" s="6" t="n">
        <x:v>2</x:v>
      </x:c>
      <x:c r="C25" t="str">
        <x:v>Text-in-General</x:v>
      </x:c>
      <x:c r="D25" s="6" t="n">
        <x:v>1</x:v>
      </x:c>
      <x:c r="E25" s="6" t="str">
        <x:v>valid</x:v>
      </x:c>
      <x:c r="F25" s="6" t="str">
        <x:v>stop</x:v>
      </x:c>
      <x:c r="G25" s="6" t="n">
        <x:v>1</x:v>
      </x:c>
      <x:c r="H25" s="6" t="str">
        <x:v>valid</x:v>
      </x:c>
      <x:c r="I25" s="6" t="str">
        <x:v>stop</x:v>
      </x:c>
      <x:c r="J25" s="6" t="n">
        <x:v>0</x:v>
      </x:c>
      <x:c r="K25" s="6" t="str">
        <x:v>truncated</x:v>
      </x:c>
      <x:c r="L25" s="6" t="str">
        <x:v>length</x:v>
      </x:c>
      <x:c r="M25" s="6" t="n">
        <x:v>0</x:v>
      </x:c>
      <x:c r="N25" s="6" t="str">
        <x:v>truncated</x:v>
      </x:c>
      <x:c r="O25" s="6" t="str">
        <x:v>length</x:v>
      </x:c>
      <x:c r="P25" s="6" t="n">
        <x:v>0</x:v>
      </x:c>
      <x:c r="Q25" s="6" t="str">
        <x:v>valid</x:v>
      </x:c>
      <x:c r="R25" s="6" t="str">
        <x:v>stop</x:v>
      </x:c>
      <x:c r="S25" s="6" t="n">
        <x:v>1</x:v>
      </x:c>
      <x:c r="T25" s="6" t="str">
        <x:v>valid</x:v>
      </x:c>
      <x:c r="U25" s="6" t="str">
        <x:v>stop</x:v>
      </x:c>
      <x:c r="V25" s="6" t="n">
        <x:v>1</x:v>
      </x:c>
      <x:c r="W25" s="6" t="str">
        <x:v>valid</x:v>
      </x:c>
      <x:c r="X25" s="6" t="str">
        <x:v>stop</x:v>
      </x:c>
      <x:c r="Y25" s="7" t="n">
        <x:v>0.3333333333</x:v>
      </x:c>
      <x:c r="Z25" s="7" t="n">
        <x:v>0</x:v>
      </x:c>
      <x:c r="AA25" s="7" t="n">
        <x:v>1</x:v>
      </x:c>
      <x:c r="AB25" s="7" t="n">
        <x:v>0.6666666667</x:v>
      </x:c>
      <x:c r="AC25" s="7" t="n">
        <x:v>0</x:v>
      </x:c>
    </x:row>
    <x:row r="26">
      <x:c r="A26" s="6" t="n">
        <x:v>622</x:v>
      </x:c>
      <x:c r="B26" s="6" t="n">
        <x:v>3</x:v>
      </x:c>
      <x:c r="C26" t="str">
        <x:v>Number-in-Chart</x:v>
      </x:c>
      <x:c r="D26" s="6" t="n">
        <x:v>0</x:v>
      </x:c>
      <x:c r="E26" s="6" t="str">
        <x:v>truncated</x:v>
      </x:c>
      <x:c r="F26" s="6" t="str">
        <x:v>length</x:v>
      </x:c>
      <x:c r="G26" s="6" t="n">
        <x:v>1</x:v>
      </x:c>
      <x:c r="H26" s="6" t="str">
        <x:v>valid</x:v>
      </x:c>
      <x:c r="I26" s="6" t="str">
        <x:v>stop</x:v>
      </x:c>
      <x:c r="J26" s="6" t="n">
        <x:v>1</x:v>
      </x:c>
      <x:c r="K26" s="6" t="str">
        <x:v>valid</x:v>
      </x:c>
      <x:c r="L26" s="6" t="str">
        <x:v>stop</x:v>
      </x:c>
      <x:c r="M26" s="6" t="n">
        <x:v>0</x:v>
      </x:c>
      <x:c r="N26" s="6" t="str">
        <x:v>valid</x:v>
      </x:c>
      <x:c r="O26" s="6" t="str">
        <x:v>stop</x:v>
      </x:c>
      <x:c r="P26" s="6" t="n">
        <x:v>0</x:v>
      </x:c>
      <x:c r="Q26" s="6" t="str">
        <x:v>valid</x:v>
      </x:c>
      <x:c r="R26" s="6" t="str">
        <x:v>stop</x:v>
      </x:c>
      <x:c r="S26" s="6" t="n">
        <x:v>0</x:v>
      </x:c>
      <x:c r="T26" s="6" t="str">
        <x:v>valid</x:v>
      </x:c>
      <x:c r="U26" s="6" t="str">
        <x:v>stop</x:v>
      </x:c>
      <x:c r="V26" s="6" t="n">
        <x:v>1</x:v>
      </x:c>
      <x:c r="W26" s="6" t="str">
        <x:v>valid</x:v>
      </x:c>
      <x:c r="X26" s="6" t="str">
        <x:v>stop</x:v>
      </x:c>
      <x:c r="Y26" s="7" t="n">
        <x:v>0</x:v>
      </x:c>
      <x:c r="Z26" s="7" t="n">
        <x:v>1</x:v>
      </x:c>
      <x:c r="AA26" s="7" t="n">
        <x:v>-1</x:v>
      </x:c>
      <x:c r="AB26" s="7" t="n">
        <x:v>1</x:v>
      </x:c>
      <x:c r="AC26" s="7" t="n">
        <x:v>0</x:v>
      </x:c>
    </x:row>
    <x:row r="27">
      <x:c r="A27" s="6" t="n">
        <x:v>650</x:v>
      </x:c>
      <x:c r="B27" s="6" t="n">
        <x:v>1</x:v>
      </x:c>
      <x:c r="C27" t="str">
        <x:v>Text-in-Chart</x:v>
      </x:c>
      <x:c r="D27" s="6" t="n">
        <x:v>0</x:v>
      </x:c>
      <x:c r="E27" s="6" t="str">
        <x:v>truncated</x:v>
      </x:c>
      <x:c r="F27" s="6" t="str">
        <x:v>length</x:v>
      </x:c>
      <x:c r="G27" s="6" t="n">
        <x:v>1</x:v>
      </x:c>
      <x:c r="H27" s="6" t="str">
        <x:v>valid</x:v>
      </x:c>
      <x:c r="I27" s="6" t="str">
        <x:v>stop</x:v>
      </x:c>
      <x:c r="J27" s="6" t="n">
        <x:v>0</x:v>
      </x:c>
      <x:c r="K27" s="6" t="str">
        <x:v>truncated</x:v>
      </x:c>
      <x:c r="L27" s="6" t="str">
        <x:v>length</x:v>
      </x:c>
      <x:c r="M27" s="6" t="n">
        <x:v>0</x:v>
      </x:c>
      <x:c r="N27" s="6" t="str">
        <x:v>truncated</x:v>
      </x:c>
      <x:c r="O27" s="6" t="str">
        <x:v>length</x:v>
      </x:c>
      <x:c r="P27" s="6" t="n">
        <x:v>0</x:v>
      </x:c>
      <x:c r="Q27" s="6" t="str">
        <x:v>valid</x:v>
      </x:c>
      <x:c r="R27" s="6" t="str">
        <x:v>stop</x:v>
      </x:c>
      <x:c r="S27" s="6" t="n">
        <x:v>0</x:v>
      </x:c>
      <x:c r="T27" s="6" t="str">
        <x:v>truncated</x:v>
      </x:c>
      <x:c r="U27" s="6" t="str">
        <x:v>length</x:v>
      </x:c>
      <x:c r="V27" s="6" t="n">
        <x:v>0</x:v>
      </x:c>
      <x:c r="W27" s="6" t="str">
        <x:v>truncated</x:v>
      </x:c>
      <x:c r="X27" s="6" t="str">
        <x:v>length</x:v>
      </x:c>
      <x:c r="Y27" s="7" t="n">
        <x:v>0</x:v>
      </x:c>
      <x:c r="Z27" s="7" t="n">
        <x:v>1</x:v>
      </x:c>
      <x:c r="AA27" s="7" t="n">
        <x:v>0</x:v>
      </x:c>
      <x:c r="AB27" s="7" t="n">
        <x:v>1</x:v>
      </x:c>
      <x:c r="AC27" s="7" t="n">
        <x:v>-1</x:v>
      </x:c>
    </x:row>
    <x:row r="28">
      <x:c r="A28" s="6" t="n">
        <x:v>654</x:v>
      </x:c>
      <x:c r="B28" s="6" t="n">
        <x:v>3</x:v>
      </x:c>
      <x:c r="C28" t="str">
        <x:v>Number-in-Chart</x:v>
      </x:c>
      <x:c r="D28" s="6" t="n">
        <x:v>1</x:v>
      </x:c>
      <x:c r="E28" s="6" t="str">
        <x:v>valid</x:v>
      </x:c>
      <x:c r="F28" s="6" t="str">
        <x:v>stop</x:v>
      </x:c>
      <x:c r="G28" s="6" t="n">
        <x:v>1</x:v>
      </x:c>
      <x:c r="H28" s="6" t="str">
        <x:v>valid</x:v>
      </x:c>
      <x:c r="I28" s="6" t="str">
        <x:v>stop</x:v>
      </x:c>
      <x:c r="J28" s="6" t="n">
        <x:v>1</x:v>
      </x:c>
      <x:c r="K28" s="6" t="str">
        <x:v>valid</x:v>
      </x:c>
      <x:c r="L28" s="6" t="str">
        <x:v>stop</x:v>
      </x:c>
      <x:c r="M28" s="6" t="n">
        <x:v>0</x:v>
      </x:c>
      <x:c r="N28" s="6" t="str">
        <x:v>valid</x:v>
      </x:c>
      <x:c r="O28" s="6" t="str">
        <x:v>stop</x:v>
      </x:c>
      <x:c r="P28" s="6" t="n">
        <x:v>0</x:v>
      </x:c>
      <x:c r="Q28" s="6" t="str">
        <x:v>truncated</x:v>
      </x:c>
      <x:c r="R28" s="6" t="str">
        <x:v>length</x:v>
      </x:c>
      <x:c r="S28" s="6" t="n">
        <x:v>0</x:v>
      </x:c>
      <x:c r="T28" s="6" t="str">
        <x:v>truncated</x:v>
      </x:c>
      <x:c r="U28" s="6" t="str">
        <x:v>length</x:v>
      </x:c>
      <x:c r="V28" s="6" t="n">
        <x:v>0</x:v>
      </x:c>
      <x:c r="W28" s="6" t="str">
        <x:v>truncated</x:v>
      </x:c>
      <x:c r="X28" s="6" t="str">
        <x:v>length</x:v>
      </x:c>
      <x:c r="Y28" s="7" t="n">
        <x:v>0</x:v>
      </x:c>
      <x:c r="Z28" s="7" t="n">
        <x:v>0</x:v>
      </x:c>
      <x:c r="AA28" s="7" t="n">
        <x:v>0</x:v>
      </x:c>
      <x:c r="AB28" s="7" t="n">
        <x:v>1</x:v>
      </x:c>
      <x:c r="AC28" s="7" t="n">
        <x:v>-1</x:v>
      </x:c>
    </x:row>
    <x:row r="29">
      <x:c r="A29" s="6" t="n">
        <x:v>724</x:v>
      </x:c>
      <x:c r="B29" s="6" t="n">
        <x:v>1</x:v>
      </x:c>
      <x:c r="C29" t="str">
        <x:v>Text-in-Chart</x:v>
      </x:c>
      <x:c r="D29" s="6" t="n">
        <x:v>0</x:v>
      </x:c>
      <x:c r="E29" s="6" t="str">
        <x:v>valid</x:v>
      </x:c>
      <x:c r="F29" s="6" t="str">
        <x:v>stop</x:v>
      </x:c>
      <x:c r="G29" s="6" t="n">
        <x:v>1</x:v>
      </x:c>
      <x:c r="H29" s="6" t="str">
        <x:v>valid</x:v>
      </x:c>
      <x:c r="I29" s="6" t="str">
        <x:v>stop</x:v>
      </x:c>
      <x:c r="J29" s="6" t="n">
        <x:v>0</x:v>
      </x:c>
      <x:c r="K29" s="6" t="str">
        <x:v>valid</x:v>
      </x:c>
      <x:c r="L29" s="6" t="str">
        <x:v>stop</x:v>
      </x:c>
      <x:c r="M29" s="6" t="n">
        <x:v>0</x:v>
      </x:c>
      <x:c r="N29" s="6" t="str">
        <x:v>truncated</x:v>
      </x:c>
      <x:c r="O29" s="6" t="str">
        <x:v>length</x:v>
      </x:c>
      <x:c r="P29" s="6" t="n">
        <x:v>0</x:v>
      </x:c>
      <x:c r="Q29" s="6" t="str">
        <x:v>valid</x:v>
      </x:c>
      <x:c r="R29" s="6" t="str">
        <x:v>stop</x:v>
      </x:c>
      <x:c r="S29" s="6" t="n">
        <x:v>0</x:v>
      </x:c>
      <x:c r="T29" s="6" t="str">
        <x:v>valid</x:v>
      </x:c>
      <x:c r="U29" s="6" t="str">
        <x:v>stop</x:v>
      </x:c>
      <x:c r="V29" s="6" t="n">
        <x:v>0</x:v>
      </x:c>
      <x:c r="W29" s="6" t="str">
        <x:v>truncated</x:v>
      </x:c>
      <x:c r="X29" s="6" t="str">
        <x:v>length</x:v>
      </x:c>
      <x:c r="Y29" s="7" t="n">
        <x:v>0</x:v>
      </x:c>
      <x:c r="Z29" s="7" t="n">
        <x:v>1</x:v>
      </x:c>
      <x:c r="AA29" s="7" t="n">
        <x:v>0</x:v>
      </x:c>
      <x:c r="AB29" s="7" t="n">
        <x:v>1</x:v>
      </x:c>
      <x:c r="AC29" s="7" t="n">
        <x:v>-1</x:v>
      </x:c>
    </x:row>
    <x:row r="30">
      <x:c r="A30" s="6" t="n">
        <x:v>756</x:v>
      </x:c>
      <x:c r="B30" s="6" t="n">
        <x:v>3</x:v>
      </x:c>
      <x:c r="C30" t="str">
        <x:v>Number-in-Chart</x:v>
      </x:c>
      <x:c r="D30" s="6" t="n">
        <x:v>1</x:v>
      </x:c>
      <x:c r="E30" s="6" t="str">
        <x:v>valid</x:v>
      </x:c>
      <x:c r="F30" s="6" t="str">
        <x:v>stop</x:v>
      </x:c>
      <x:c r="G30" s="6" t="n">
        <x:v>1</x:v>
      </x:c>
      <x:c r="H30" s="6" t="str">
        <x:v>valid</x:v>
      </x:c>
      <x:c r="I30" s="6" t="str">
        <x:v>stop</x:v>
      </x:c>
      <x:c r="J30" s="6" t="n">
        <x:v>0</x:v>
      </x:c>
      <x:c r="K30" s="6" t="str">
        <x:v>valid</x:v>
      </x:c>
      <x:c r="L30" s="6" t="str">
        <x:v>stop</x:v>
      </x:c>
      <x:c r="M30" s="6" t="n">
        <x:v>0</x:v>
      </x:c>
      <x:c r="N30" s="6" t="str">
        <x:v>valid</x:v>
      </x:c>
      <x:c r="O30" s="6" t="str">
        <x:v>stop</x:v>
      </x:c>
      <x:c r="P30" s="6" t="n">
        <x:v>0</x:v>
      </x:c>
      <x:c r="Q30" s="6" t="str">
        <x:v>valid</x:v>
      </x:c>
      <x:c r="R30" s="6" t="str">
        <x:v>stop</x:v>
      </x:c>
      <x:c r="S30" s="6" t="n">
        <x:v>0</x:v>
      </x:c>
      <x:c r="T30" s="6" t="str">
        <x:v>valid</x:v>
      </x:c>
      <x:c r="U30" s="6" t="str">
        <x:v>stop</x:v>
      </x:c>
      <x:c r="V30" s="6" t="n">
        <x:v>1</x:v>
      </x:c>
      <x:c r="W30" s="6" t="str">
        <x:v>valid</x:v>
      </x:c>
      <x:c r="X30" s="6" t="str">
        <x:v>stop</x:v>
      </x:c>
      <x:c r="Y30" s="7" t="n">
        <x:v>0</x:v>
      </x:c>
      <x:c r="Z30" s="7" t="n">
        <x:v>0</x:v>
      </x:c>
      <x:c r="AA30" s="7" t="n">
        <x:v>1</x:v>
      </x:c>
      <x:c r="AB30" s="7" t="n">
        <x:v>1</x:v>
      </x:c>
      <x:c r="AC30" s="7" t="n">
        <x:v>0</x:v>
      </x:c>
    </x:row>
    <x:row r="31">
      <x:c r="A31" s="6" t="n">
        <x:v>813</x:v>
      </x:c>
      <x:c r="B31" s="6" t="n">
        <x:v>1</x:v>
      </x:c>
      <x:c r="C31" t="str">
        <x:v>Text-in-Chart</x:v>
      </x:c>
      <x:c r="D31" s="6" t="n">
        <x:v>1</x:v>
      </x:c>
      <x:c r="E31" s="6" t="str">
        <x:v>valid</x:v>
      </x:c>
      <x:c r="F31" s="6" t="str">
        <x:v>stop</x:v>
      </x:c>
      <x:c r="G31" s="6" t="n">
        <x:v>1</x:v>
      </x:c>
      <x:c r="H31" s="6" t="str">
        <x:v>valid</x:v>
      </x:c>
      <x:c r="I31" s="6" t="str">
        <x:v>stop</x:v>
      </x:c>
      <x:c r="J31" s="6" t="n">
        <x:v>0</x:v>
      </x:c>
      <x:c r="K31" s="6" t="str">
        <x:v>truncated</x:v>
      </x:c>
      <x:c r="L31" s="6" t="str">
        <x:v>length</x:v>
      </x:c>
      <x:c r="M31" s="6" t="n">
        <x:v>0</x:v>
      </x:c>
      <x:c r="N31" s="6" t="str">
        <x:v>truncated</x:v>
      </x:c>
      <x:c r="O31" s="6" t="str">
        <x:v>length</x:v>
      </x:c>
      <x:c r="P31" s="6" t="n">
        <x:v>0</x:v>
      </x:c>
      <x:c r="Q31" s="6" t="str">
        <x:v>valid</x:v>
      </x:c>
      <x:c r="R31" s="6" t="str">
        <x:v>stop</x:v>
      </x:c>
      <x:c r="S31" s="6" t="n">
        <x:v>0</x:v>
      </x:c>
      <x:c r="T31" s="6" t="str">
        <x:v>truncated</x:v>
      </x:c>
      <x:c r="U31" s="6" t="str">
        <x:v>length</x:v>
      </x:c>
      <x:c r="V31" s="6" t="n">
        <x:v>1</x:v>
      </x:c>
      <x:c r="W31" s="6" t="str">
        <x:v>valid</x:v>
      </x:c>
      <x:c r="X31" s="6" t="str">
        <x:v>stop</x:v>
      </x:c>
      <x:c r="Y31" s="7" t="n">
        <x:v>0</x:v>
      </x:c>
      <x:c r="Z31" s="7" t="n">
        <x:v>0</x:v>
      </x:c>
      <x:c r="AA31" s="7" t="n">
        <x:v>1</x:v>
      </x:c>
      <x:c r="AB31" s="7" t="n">
        <x:v>1</x:v>
      </x:c>
      <x:c r="AC31" s="7" t="n">
        <x:v>0</x:v>
      </x:c>
    </x:row>
    <x:row r="32">
      <x:c r="A32" s="6" t="n">
        <x:v>819</x:v>
      </x:c>
      <x:c r="B32" s="6" t="n">
        <x:v>1</x:v>
      </x:c>
      <x:c r="C32" t="str">
        <x:v>Text-in-Chart</x:v>
      </x:c>
      <x:c r="D32" s="6" t="n">
        <x:v>1</x:v>
      </x:c>
      <x:c r="E32" s="6" t="str">
        <x:v>valid</x:v>
      </x:c>
      <x:c r="F32" s="6" t="str">
        <x:v>stop</x:v>
      </x:c>
      <x:c r="G32" s="6" t="n">
        <x:v>1</x:v>
      </x:c>
      <x:c r="H32" s="6" t="str">
        <x:v>valid</x:v>
      </x:c>
      <x:c r="I32" s="6" t="str">
        <x:v>stop</x:v>
      </x:c>
      <x:c r="J32" s="6" t="n">
        <x:v>1</x:v>
      </x:c>
      <x:c r="K32" s="6" t="str">
        <x:v>valid</x:v>
      </x:c>
      <x:c r="L32" s="6" t="str">
        <x:v>stop</x:v>
      </x:c>
      <x:c r="M32" s="6" t="n">
        <x:v>0</x:v>
      </x:c>
      <x:c r="N32" s="6" t="str">
        <x:v>truncated</x:v>
      </x:c>
      <x:c r="O32" s="6" t="str">
        <x:v>length</x:v>
      </x:c>
      <x:c r="P32" s="6" t="n">
        <x:v>0</x:v>
      </x:c>
      <x:c r="Q32" s="6" t="str">
        <x:v>valid</x:v>
      </x:c>
      <x:c r="R32" s="6" t="str">
        <x:v>stop</x:v>
      </x:c>
      <x:c r="S32" s="6" t="n">
        <x:v>0</x:v>
      </x:c>
      <x:c r="T32" s="6" t="str">
        <x:v>truncated</x:v>
      </x:c>
      <x:c r="U32" s="6" t="str">
        <x:v>length</x:v>
      </x:c>
      <x:c r="V32" s="6" t="n">
        <x:v>1</x:v>
      </x:c>
      <x:c r="W32" s="6" t="str">
        <x:v>valid</x:v>
      </x:c>
      <x:c r="X32" s="6" t="str">
        <x:v>stop</x:v>
      </x:c>
      <x:c r="Y32" s="7" t="n">
        <x:v>0</x:v>
      </x:c>
      <x:c r="Z32" s="7" t="n">
        <x:v>0</x:v>
      </x:c>
      <x:c r="AA32" s="7" t="n">
        <x:v>0</x:v>
      </x:c>
      <x:c r="AB32" s="7" t="n">
        <x:v>1</x:v>
      </x:c>
      <x:c r="AC32" s="7" t="n">
        <x:v>0</x:v>
      </x:c>
    </x:row>
    <x:row r="33">
      <x:c r="A33" s="6" t="n">
        <x:v>820</x:v>
      </x:c>
      <x:c r="B33" s="6" t="n">
        <x:v>1</x:v>
      </x:c>
      <x:c r="C33" t="str">
        <x:v>Text-in-Chart</x:v>
      </x:c>
      <x:c r="D33" s="6" t="n">
        <x:v>0</x:v>
      </x:c>
      <x:c r="E33" s="6" t="str">
        <x:v>valid</x:v>
      </x:c>
      <x:c r="F33" s="6" t="str">
        <x:v>stop</x:v>
      </x:c>
      <x:c r="G33" s="6" t="n">
        <x:v>0</x:v>
      </x:c>
      <x:c r="H33" s="6" t="str">
        <x:v>truncated</x:v>
      </x:c>
      <x:c r="I33" s="6" t="str">
        <x:v>length</x:v>
      </x:c>
      <x:c r="J33" s="6" t="n">
        <x:v>0</x:v>
      </x:c>
      <x:c r="K33" s="6" t="str">
        <x:v>truncated</x:v>
      </x:c>
      <x:c r="L33" s="6" t="str">
        <x:v>length</x:v>
      </x:c>
      <x:c r="M33" s="6" t="n">
        <x:v>0</x:v>
      </x:c>
      <x:c r="N33" s="6" t="str">
        <x:v>truncated</x:v>
      </x:c>
      <x:c r="O33" s="6" t="str">
        <x:v>length</x:v>
      </x:c>
      <x:c r="P33" s="6" t="n">
        <x:v>0</x:v>
      </x:c>
      <x:c r="Q33" s="6" t="str">
        <x:v>valid</x:v>
      </x:c>
      <x:c r="R33" s="6" t="str">
        <x:v>stop</x:v>
      </x:c>
      <x:c r="S33" s="6" t="n">
        <x:v>0</x:v>
      </x:c>
      <x:c r="T33" s="6" t="str">
        <x:v>truncated</x:v>
      </x:c>
      <x:c r="U33" s="6" t="str">
        <x:v>length</x:v>
      </x:c>
      <x:c r="V33" s="6" t="n">
        <x:v>0</x:v>
      </x:c>
      <x:c r="W33" s="6" t="str">
        <x:v>truncated</x:v>
      </x:c>
      <x:c r="X33" s="6" t="str">
        <x:v>length</x:v>
      </x:c>
      <x:c r="Y33" s="7" t="n">
        <x:v>0</x:v>
      </x:c>
      <x:c r="Z33" s="7" t="n">
        <x:v>0</x:v>
      </x:c>
      <x:c r="AA33" s="7" t="n">
        <x:v>0</x:v>
      </x:c>
      <x:c r="AB33" s="7" t="n">
        <x:v>0</x:v>
      </x:c>
      <x:c r="AC33" s="7" t="n">
        <x:v>0</x:v>
      </x:c>
    </x:row>
    <x:row r="34">
      <x:c r="A34" s="6" t="n">
        <x:v>855</x:v>
      </x:c>
      <x:c r="B34" s="6" t="n">
        <x:v>2</x:v>
      </x:c>
      <x:c r="C34" t="str">
        <x:v>Text-in-General</x:v>
      </x:c>
      <x:c r="D34" s="6" t="n">
        <x:v>1</x:v>
      </x:c>
      <x:c r="E34" s="6" t="str">
        <x:v>valid</x:v>
      </x:c>
      <x:c r="F34" s="6" t="str">
        <x:v>stop</x:v>
      </x:c>
      <x:c r="G34" s="6" t="n">
        <x:v>1</x:v>
      </x:c>
      <x:c r="H34" s="6" t="str">
        <x:v>valid</x:v>
      </x:c>
      <x:c r="I34" s="6" t="str">
        <x:v>stop</x:v>
      </x:c>
      <x:c r="J34" s="6" t="n">
        <x:v>1</x:v>
      </x:c>
      <x:c r="K34" s="6" t="str">
        <x:v>valid</x:v>
      </x:c>
      <x:c r="L34" s="6" t="str">
        <x:v>stop</x:v>
      </x:c>
      <x:c r="M34" s="6" t="n">
        <x:v>1</x:v>
      </x:c>
      <x:c r="N34" s="6" t="str">
        <x:v>valid</x:v>
      </x:c>
      <x:c r="O34" s="6" t="str">
        <x:v>stop</x:v>
      </x:c>
      <x:c r="P34" s="6" t="n">
        <x:v>0</x:v>
      </x:c>
      <x:c r="Q34" s="6" t="str">
        <x:v>truncated</x:v>
      </x:c>
      <x:c r="R34" s="6" t="str">
        <x:v>length</x:v>
      </x:c>
      <x:c r="S34" s="6" t="n">
        <x:v>0</x:v>
      </x:c>
      <x:c r="T34" s="6" t="str">
        <x:v>valid</x:v>
      </x:c>
      <x:c r="U34" s="6" t="str">
        <x:v>stop</x:v>
      </x:c>
      <x:c r="V34" s="6" t="n">
        <x:v>1</x:v>
      </x:c>
      <x:c r="W34" s="6" t="str">
        <x:v>valid</x:v>
      </x:c>
      <x:c r="X34" s="6" t="str">
        <x:v>stop</x:v>
      </x:c>
      <x:c r="Y34" s="7" t="n">
        <x:v>0.3333333333</x:v>
      </x:c>
      <x:c r="Z34" s="7" t="n">
        <x:v>0</x:v>
      </x:c>
      <x:c r="AA34" s="7" t="n">
        <x:v>0</x:v>
      </x:c>
      <x:c r="AB34" s="7" t="n">
        <x:v>0.6666666667</x:v>
      </x:c>
      <x:c r="AC34" s="7" t="n">
        <x:v>0</x:v>
      </x:c>
    </x:row>
    <x:row r="35">
      <x:c r="A35" s="6" t="n">
        <x:v>880</x:v>
      </x:c>
      <x:c r="B35" s="6" t="n">
        <x:v>3</x:v>
      </x:c>
      <x:c r="C35" t="str">
        <x:v>Number-in-Chart</x:v>
      </x:c>
      <x:c r="D35" s="6" t="n">
        <x:v>1</x:v>
      </x:c>
      <x:c r="E35" s="6" t="str">
        <x:v>valid</x:v>
      </x:c>
      <x:c r="F35" s="6" t="str">
        <x:v>stop</x:v>
      </x:c>
      <x:c r="G35" s="6" t="n">
        <x:v>0</x:v>
      </x:c>
      <x:c r="H35" s="6" t="str">
        <x:v>valid</x:v>
      </x:c>
      <x:c r="I35" s="6" t="str">
        <x:v>stop</x:v>
      </x:c>
      <x:c r="J35" s="6" t="n">
        <x:v>0</x:v>
      </x:c>
      <x:c r="K35" s="6" t="str">
        <x:v>valid</x:v>
      </x:c>
      <x:c r="L35" s="6" t="str">
        <x:v>stop</x:v>
      </x:c>
      <x:c r="M35" s="6" t="n">
        <x:v>0</x:v>
      </x:c>
      <x:c r="N35" s="6" t="str">
        <x:v>valid</x:v>
      </x:c>
      <x:c r="O35" s="6" t="str">
        <x:v>stop</x:v>
      </x:c>
      <x:c r="P35" s="6" t="n">
        <x:v>0</x:v>
      </x:c>
      <x:c r="Q35" s="6" t="str">
        <x:v>valid</x:v>
      </x:c>
      <x:c r="R35" s="6" t="str">
        <x:v>stop</x:v>
      </x:c>
      <x:c r="S35" s="6" t="n">
        <x:v>0</x:v>
      </x:c>
      <x:c r="T35" s="6" t="str">
        <x:v>valid</x:v>
      </x:c>
      <x:c r="U35" s="6" t="str">
        <x:v>stop</x:v>
      </x:c>
      <x:c r="V35" s="6" t="n">
        <x:v>0</x:v>
      </x:c>
      <x:c r="W35" s="6" t="str">
        <x:v>valid</x:v>
      </x:c>
      <x:c r="X35" s="6" t="str">
        <x:v>stop</x:v>
      </x:c>
      <x:c r="Y35" s="7" t="n">
        <x:v>0</x:v>
      </x:c>
      <x:c r="Z35" s="7" t="n">
        <x:v>-1</x:v>
      </x:c>
      <x:c r="AA35" s="7" t="n">
        <x:v>1</x:v>
      </x:c>
      <x:c r="AB35" s="7" t="n">
        <x:v>0</x:v>
      </x:c>
      <x:c r="AC35" s="7" t="n">
        <x:v>0</x:v>
      </x:c>
    </x:row>
    <x:row r="36">
      <x:c r="A36" s="6" t="n">
        <x:v>885</x:v>
      </x:c>
      <x:c r="B36" s="6" t="n">
        <x:v>2</x:v>
      </x:c>
      <x:c r="C36" t="str">
        <x:v>Text-in-General</x:v>
      </x:c>
      <x:c r="D36" s="6" t="n">
        <x:v>0</x:v>
      </x:c>
      <x:c r="E36" s="6" t="str">
        <x:v>valid</x:v>
      </x:c>
      <x:c r="F36" s="6" t="str">
        <x:v>stop</x:v>
      </x:c>
      <x:c r="G36" s="6" t="n">
        <x:v>1</x:v>
      </x:c>
      <x:c r="H36" s="6" t="str">
        <x:v>valid</x:v>
      </x:c>
      <x:c r="I36" s="6" t="str">
        <x:v>stop</x:v>
      </x:c>
      <x:c r="J36" s="6" t="n">
        <x:v>1</x:v>
      </x:c>
      <x:c r="K36" s="6" t="str">
        <x:v>valid</x:v>
      </x:c>
      <x:c r="L36" s="6" t="str">
        <x:v>stop</x:v>
      </x:c>
      <x:c r="M36" s="6" t="n">
        <x:v>1</x:v>
      </x:c>
      <x:c r="N36" s="6" t="str">
        <x:v>valid</x:v>
      </x:c>
      <x:c r="O36" s="6" t="str">
        <x:v>stop</x:v>
      </x:c>
      <x:c r="P36" s="6" t="n">
        <x:v>0</x:v>
      </x:c>
      <x:c r="Q36" s="6" t="str">
        <x:v>valid</x:v>
      </x:c>
      <x:c r="R36" s="6" t="str">
        <x:v>stop</x:v>
      </x:c>
      <x:c r="S36" s="6" t="n">
        <x:v>0</x:v>
      </x:c>
      <x:c r="T36" s="6" t="str">
        <x:v>valid</x:v>
      </x:c>
      <x:c r="U36" s="6" t="str">
        <x:v>stop</x:v>
      </x:c>
      <x:c r="V36" s="6" t="n">
        <x:v>1</x:v>
      </x:c>
      <x:c r="W36" s="6" t="str">
        <x:v>valid</x:v>
      </x:c>
      <x:c r="X36" s="6" t="str">
        <x:v>stop</x:v>
      </x:c>
      <x:c r="Y36" s="7" t="n">
        <x:v>0.3333333333</x:v>
      </x:c>
      <x:c r="Z36" s="7" t="n">
        <x:v>1</x:v>
      </x:c>
      <x:c r="AA36" s="7" t="n">
        <x:v>-1</x:v>
      </x:c>
      <x:c r="AB36" s="7" t="n">
        <x:v>0.6666666667</x:v>
      </x:c>
      <x:c r="AC36" s="7" t="n">
        <x:v>0</x:v>
      </x:c>
    </x:row>
    <x:row r="37">
      <x:c r="A37" s="6" t="n">
        <x:v>904</x:v>
      </x:c>
      <x:c r="B37" s="6" t="n">
        <x:v>2</x:v>
      </x:c>
      <x:c r="C37" t="str">
        <x:v>Text-in-General</x:v>
      </x:c>
      <x:c r="D37" s="6" t="n">
        <x:v>0</x:v>
      </x:c>
      <x:c r="E37" s="6" t="str">
        <x:v>truncated</x:v>
      </x:c>
      <x:c r="F37" s="6" t="str">
        <x:v>length</x:v>
      </x:c>
      <x:c r="G37" s="6" t="n">
        <x:v>0</x:v>
      </x:c>
      <x:c r="H37" s="6" t="str">
        <x:v>truncated</x:v>
      </x:c>
      <x:c r="I37" s="6" t="str">
        <x:v>length</x:v>
      </x:c>
      <x:c r="J37" s="6" t="n">
        <x:v>1</x:v>
      </x:c>
      <x:c r="K37" s="6" t="str">
        <x:v>valid</x:v>
      </x:c>
      <x:c r="L37" s="6" t="str">
        <x:v>stop</x:v>
      </x:c>
      <x:c r="M37" s="6" t="n">
        <x:v>0</x:v>
      </x:c>
      <x:c r="N37" s="6" t="str">
        <x:v>truncated</x:v>
      </x:c>
      <x:c r="O37" s="6" t="str">
        <x:v>length</x:v>
      </x:c>
      <x:c r="P37" s="6" t="n">
        <x:v>0</x:v>
      </x:c>
      <x:c r="Q37" s="6" t="str">
        <x:v>truncated</x:v>
      </x:c>
      <x:c r="R37" s="6" t="str">
        <x:v>length</x:v>
      </x:c>
      <x:c r="S37" s="6" t="n">
        <x:v>0</x:v>
      </x:c>
      <x:c r="T37" s="6" t="str">
        <x:v>truncated</x:v>
      </x:c>
      <x:c r="U37" s="6" t="str">
        <x:v>length</x:v>
      </x:c>
      <x:c r="V37" s="6" t="n">
        <x:v>0</x:v>
      </x:c>
      <x:c r="W37" s="6" t="str">
        <x:v>truncated</x:v>
      </x:c>
      <x:c r="X37" s="6" t="str">
        <x:v>length</x:v>
      </x:c>
      <x:c r="Y37" s="7" t="n">
        <x:v>0</x:v>
      </x:c>
      <x:c r="Z37" s="7" t="n">
        <x:v>0</x:v>
      </x:c>
      <x:c r="AA37" s="7" t="n">
        <x:v>-1</x:v>
      </x:c>
      <x:c r="AB37" s="7" t="n">
        <x:v>0</x:v>
      </x:c>
      <x:c r="AC37" s="7" t="n">
        <x:v>0</x:v>
      </x:c>
    </x:row>
    <x:row r="38">
      <x:c r="A38" s="6" t="n">
        <x:v>914</x:v>
      </x:c>
      <x:c r="B38" s="6" t="n">
        <x:v>1</x:v>
      </x:c>
      <x:c r="C38" t="str">
        <x:v>Text-in-Chart</x:v>
      </x:c>
      <x:c r="D38" s="6" t="n">
        <x:v>1</x:v>
      </x:c>
      <x:c r="E38" s="6" t="str">
        <x:v>valid</x:v>
      </x:c>
      <x:c r="F38" s="6" t="str">
        <x:v>stop</x:v>
      </x:c>
      <x:c r="G38" s="6" t="n">
        <x:v>1</x:v>
      </x:c>
      <x:c r="H38" s="6" t="str">
        <x:v>valid</x:v>
      </x:c>
      <x:c r="I38" s="6" t="str">
        <x:v>stop</x:v>
      </x:c>
      <x:c r="J38" s="6" t="n">
        <x:v>0</x:v>
      </x:c>
      <x:c r="K38" s="6" t="str">
        <x:v>valid</x:v>
      </x:c>
      <x:c r="L38" s="6" t="str">
        <x:v>stop</x:v>
      </x:c>
      <x:c r="M38" s="6" t="n">
        <x:v>1</x:v>
      </x:c>
      <x:c r="N38" s="6" t="str">
        <x:v>valid</x:v>
      </x:c>
      <x:c r="O38" s="6" t="str">
        <x:v>stop</x:v>
      </x:c>
      <x:c r="P38" s="6" t="n">
        <x:v>0</x:v>
      </x:c>
      <x:c r="Q38" s="6" t="str">
        <x:v>valid</x:v>
      </x:c>
      <x:c r="R38" s="6" t="str">
        <x:v>stop</x:v>
      </x:c>
      <x:c r="S38" s="6" t="n">
        <x:v>0</x:v>
      </x:c>
      <x:c r="T38" s="6" t="str">
        <x:v>valid</x:v>
      </x:c>
      <x:c r="U38" s="6" t="str">
        <x:v>stop</x:v>
      </x:c>
      <x:c r="V38" s="6" t="n">
        <x:v>1</x:v>
      </x:c>
      <x:c r="W38" s="6" t="str">
        <x:v>valid</x:v>
      </x:c>
      <x:c r="X38" s="6" t="str">
        <x:v>stop</x:v>
      </x:c>
      <x:c r="Y38" s="7" t="n">
        <x:v>0.3333333333</x:v>
      </x:c>
      <x:c r="Z38" s="7" t="n">
        <x:v>0</x:v>
      </x:c>
      <x:c r="AA38" s="7" t="n">
        <x:v>1</x:v>
      </x:c>
      <x:c r="AB38" s="7" t="n">
        <x:v>0.6666666667</x:v>
      </x:c>
      <x:c r="AC38" s="7" t="n">
        <x:v>0</x:v>
      </x:c>
    </x:row>
    <x:row r="39">
      <x:c r="A39" s="6" t="n">
        <x:v>916</x:v>
      </x:c>
      <x:c r="B39" s="6" t="n">
        <x:v>4</x:v>
      </x:c>
      <x:c r="C39" t="str">
        <x:v>Number-in-General</x:v>
      </x:c>
      <x:c r="D39" s="6" t="n">
        <x:v>1</x:v>
      </x:c>
      <x:c r="E39" s="6" t="str">
        <x:v>valid</x:v>
      </x:c>
      <x:c r="F39" s="6" t="str">
        <x:v>stop</x:v>
      </x:c>
      <x:c r="G39" s="6" t="n">
        <x:v>1</x:v>
      </x:c>
      <x:c r="H39" s="6" t="str">
        <x:v>valid</x:v>
      </x:c>
      <x:c r="I39" s="6" t="str">
        <x:v>stop</x:v>
      </x:c>
      <x:c r="J39" s="6" t="n">
        <x:v>1</x:v>
      </x:c>
      <x:c r="K39" s="6" t="str">
        <x:v>valid</x:v>
      </x:c>
      <x:c r="L39" s="6" t="str">
        <x:v>stop</x:v>
      </x:c>
      <x:c r="M39" s="6" t="n">
        <x:v>0</x:v>
      </x:c>
      <x:c r="N39" s="6" t="str">
        <x:v>valid</x:v>
      </x:c>
      <x:c r="O39" s="6" t="str">
        <x:v>stop</x:v>
      </x:c>
      <x:c r="P39" s="6" t="n">
        <x:v>0</x:v>
      </x:c>
      <x:c r="Q39" s="6" t="str">
        <x:v>valid</x:v>
      </x:c>
      <x:c r="R39" s="6" t="str">
        <x:v>stop</x:v>
      </x:c>
      <x:c r="S39" s="6" t="n">
        <x:v>0</x:v>
      </x:c>
      <x:c r="T39" s="6" t="str">
        <x:v>valid</x:v>
      </x:c>
      <x:c r="U39" s="6" t="str">
        <x:v>stop</x:v>
      </x:c>
      <x:c r="V39" s="6" t="n">
        <x:v>1</x:v>
      </x:c>
      <x:c r="W39" s="6" t="str">
        <x:v>valid</x:v>
      </x:c>
      <x:c r="X39" s="6" t="str">
        <x:v>stop</x:v>
      </x:c>
      <x:c r="Y39" s="7" t="n">
        <x:v>0</x:v>
      </x:c>
      <x:c r="Z39" s="7" t="n">
        <x:v>0</x:v>
      </x:c>
      <x:c r="AA39" s="7" t="n">
        <x:v>0</x:v>
      </x:c>
      <x:c r="AB39" s="7" t="n">
        <x:v>1</x:v>
      </x:c>
      <x:c r="AC39" s="7" t="n">
        <x:v>0</x:v>
      </x:c>
    </x:row>
    <x:row r="40">
      <x:c r="A40" s="6" t="n">
        <x:v>924</x:v>
      </x:c>
      <x:c r="B40" s="6" t="n">
        <x:v>3</x:v>
      </x:c>
      <x:c r="C40" t="str">
        <x:v>Number-in-Chart</x:v>
      </x:c>
      <x:c r="D40" s="6" t="n">
        <x:v>1</x:v>
      </x:c>
      <x:c r="E40" s="6" t="str">
        <x:v>valid</x:v>
      </x:c>
      <x:c r="F40" s="6" t="str">
        <x:v>stop</x:v>
      </x:c>
      <x:c r="G40" s="6" t="n">
        <x:v>0</x:v>
      </x:c>
      <x:c r="H40" s="6" t="str">
        <x:v>valid</x:v>
      </x:c>
      <x:c r="I40" s="6" t="str">
        <x:v>stop</x:v>
      </x:c>
      <x:c r="J40" s="6" t="n">
        <x:v>0</x:v>
      </x:c>
      <x:c r="K40" s="6" t="str">
        <x:v>truncated</x:v>
      </x:c>
      <x:c r="L40" s="6" t="str">
        <x:v>length</x:v>
      </x:c>
      <x:c r="M40" s="6" t="n">
        <x:v>0</x:v>
      </x:c>
      <x:c r="N40" s="6" t="str">
        <x:v>truncated</x:v>
      </x:c>
      <x:c r="O40" s="6" t="str">
        <x:v>length</x:v>
      </x:c>
      <x:c r="P40" s="6" t="n">
        <x:v>0</x:v>
      </x:c>
      <x:c r="Q40" s="6" t="str">
        <x:v>valid</x:v>
      </x:c>
      <x:c r="R40" s="6" t="str">
        <x:v>stop</x:v>
      </x:c>
      <x:c r="S40" s="6" t="n">
        <x:v>0</x:v>
      </x:c>
      <x:c r="T40" s="6" t="str">
        <x:v>valid</x:v>
      </x:c>
      <x:c r="U40" s="6" t="str">
        <x:v>stop</x:v>
      </x:c>
      <x:c r="V40" s="6" t="n">
        <x:v>0</x:v>
      </x:c>
      <x:c r="W40" s="6" t="str">
        <x:v>truncated</x:v>
      </x:c>
      <x:c r="X40" s="6" t="str">
        <x:v>length</x:v>
      </x:c>
      <x:c r="Y40" s="7" t="n">
        <x:v>0</x:v>
      </x:c>
      <x:c r="Z40" s="7" t="n">
        <x:v>-1</x:v>
      </x:c>
      <x:c r="AA40" s="7" t="n">
        <x:v>1</x:v>
      </x:c>
      <x:c r="AB40" s="7" t="n">
        <x:v>0</x:v>
      </x:c>
      <x:c r="AC40" s="7" t="n">
        <x:v>0</x:v>
      </x:c>
    </x:row>
    <x:row r="41">
      <x:c r="A41" s="6" t="n">
        <x:v>973</x:v>
      </x:c>
      <x:c r="B41" s="6" t="n">
        <x:v>1</x:v>
      </x:c>
      <x:c r="C41" t="str">
        <x:v>Text-in-Chart</x:v>
      </x:c>
      <x:c r="D41" s="6" t="n">
        <x:v>1</x:v>
      </x:c>
      <x:c r="E41" s="6" t="str">
        <x:v>valid</x:v>
      </x:c>
      <x:c r="F41" s="6" t="str">
        <x:v>stop</x:v>
      </x:c>
      <x:c r="G41" s="6" t="n">
        <x:v>1</x:v>
      </x:c>
      <x:c r="H41" s="6" t="str">
        <x:v>valid</x:v>
      </x:c>
      <x:c r="I41" s="6" t="str">
        <x:v>stop</x:v>
      </x:c>
      <x:c r="J41" s="6" t="n">
        <x:v>0</x:v>
      </x:c>
      <x:c r="K41" s="6" t="str">
        <x:v>valid</x:v>
      </x:c>
      <x:c r="L41" s="6" t="str">
        <x:v>stop</x:v>
      </x:c>
      <x:c r="M41" s="6" t="n">
        <x:v>0</x:v>
      </x:c>
      <x:c r="N41" s="6" t="str">
        <x:v>truncated</x:v>
      </x:c>
      <x:c r="O41" s="6" t="str">
        <x:v>length</x:v>
      </x:c>
      <x:c r="P41" s="6" t="n">
        <x:v>0</x:v>
      </x:c>
      <x:c r="Q41" s="6" t="str">
        <x:v>valid</x:v>
      </x:c>
      <x:c r="R41" s="6" t="str">
        <x:v>stop</x:v>
      </x:c>
      <x:c r="S41" s="6" t="n">
        <x:v>0</x:v>
      </x:c>
      <x:c r="T41" s="6" t="str">
        <x:v>truncated</x:v>
      </x:c>
      <x:c r="U41" s="6" t="str">
        <x:v>length</x:v>
      </x:c>
      <x:c r="V41" s="6" t="n">
        <x:v>1</x:v>
      </x:c>
      <x:c r="W41" s="6" t="str">
        <x:v>valid</x:v>
      </x:c>
      <x:c r="X41" s="6" t="str">
        <x:v>stop</x:v>
      </x:c>
      <x:c r="Y41" s="7" t="n">
        <x:v>0</x:v>
      </x:c>
      <x:c r="Z41" s="7" t="n">
        <x:v>0</x:v>
      </x:c>
      <x:c r="AA41" s="7" t="n">
        <x:v>1</x:v>
      </x:c>
      <x:c r="AB41" s="7" t="n">
        <x:v>1</x:v>
      </x:c>
      <x:c r="AC41" s="7" t="n">
        <x:v>0</x:v>
      </x:c>
    </x:row>
    <x:row r="42">
      <x:c r="A42" s="6" t="n">
        <x:v>977</x:v>
      </x:c>
      <x:c r="B42" s="6" t="n">
        <x:v>2</x:v>
      </x:c>
      <x:c r="C42" t="str">
        <x:v>Text-in-General</x:v>
      </x:c>
      <x:c r="D42" s="6" t="n">
        <x:v>0</x:v>
      </x:c>
      <x:c r="E42" s="6" t="str">
        <x:v>truncated</x:v>
      </x:c>
      <x:c r="F42" s="6" t="str">
        <x:v>length</x:v>
      </x:c>
      <x:c r="G42" s="6" t="n">
        <x:v>0</x:v>
      </x:c>
      <x:c r="H42" s="6" t="str">
        <x:v>truncated</x:v>
      </x:c>
      <x:c r="I42" s="6" t="str">
        <x:v>length</x:v>
      </x:c>
      <x:c r="J42" s="6" t="n">
        <x:v>0</x:v>
      </x:c>
      <x:c r="K42" s="6" t="str">
        <x:v>truncated</x:v>
      </x:c>
      <x:c r="L42" s="6" t="str">
        <x:v>length</x:v>
      </x:c>
      <x:c r="M42" s="6" t="n">
        <x:v>0</x:v>
      </x:c>
      <x:c r="N42" s="6" t="str">
        <x:v>truncated</x:v>
      </x:c>
      <x:c r="O42" s="6" t="str">
        <x:v>length</x:v>
      </x:c>
      <x:c r="P42" s="6" t="n">
        <x:v>0</x:v>
      </x:c>
      <x:c r="Q42" s="6" t="str">
        <x:v>truncated</x:v>
      </x:c>
      <x:c r="R42" s="6" t="str">
        <x:v>length</x:v>
      </x:c>
      <x:c r="S42" s="6" t="n">
        <x:v>0</x:v>
      </x:c>
      <x:c r="T42" s="6" t="str">
        <x:v>truncated</x:v>
      </x:c>
      <x:c r="U42" s="6" t="str">
        <x:v>length</x:v>
      </x:c>
      <x:c r="V42" s="6" t="n">
        <x:v>0</x:v>
      </x:c>
      <x:c r="W42" s="6" t="str">
        <x:v>truncated</x:v>
      </x:c>
      <x:c r="X42" s="6" t="str">
        <x:v>length</x:v>
      </x:c>
      <x:c r="Y42" s="7" t="n">
        <x:v>0</x:v>
      </x:c>
      <x:c r="Z42" s="7" t="n">
        <x:v>0</x:v>
      </x:c>
      <x:c r="AA42" s="7" t="n">
        <x:v>0</x:v>
      </x:c>
      <x:c r="AB42" s="7" t="n">
        <x:v>0</x:v>
      </x:c>
      <x:c r="AC42" s="7" t="n">
        <x:v>0</x:v>
      </x:c>
    </x:row>
  </x:sheetData>
  <x:conditionalFormatting sqref="Z2:AC4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518e0267f05407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34" hidden="0" customWidth="1"/>
    <x:col min="3" max="3" width="2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3" hidden="0" customWidth="1"/>
  </x:cols>
  <x:sheetData>
    <x:row r="1" ht="28" customHeight="1">
      <x:c r="A1" s="11" t="str">
        <x:v>Evidence Condition Comparison Report</x:v>
      </x:c>
      <x:c r="B1" s="11"/>
      <x:c r="C1" s="11"/>
      <x:c r="D1" s="11"/>
      <x:c r="E1" s="11"/>
      <x:c r="F1" s="11"/>
      <x:c r="G1" s="11"/>
      <x:c r="H1" s="11"/>
      <x:c r="I1" s="11"/>
      <x:c r="J1" s="11"/>
    </x:row>
    <x:row r="2">
      <x:c r="A2" s="13" t="str">
        <x:v>Model</x:v>
      </x:c>
      <x:c r="B2" s="14" t="str">
        <x:v>Qwen3.5-9B</x:v>
      </x:c>
    </x:row>
    <x:row r="3">
      <x:c r="A3" s="13" t="str">
        <x:v>Generated at</x:v>
      </x:c>
      <x:c r="B3" s="15" t="n">
        <x:v>46267.0841259375</x:v>
      </x:c>
    </x:row>
    <x:row r="4">
      <x:c r="A4" s="13" t="str">
        <x:v>Paired samples</x:v>
      </x:c>
      <x:c r="B4" s="14" t="n">
        <x:v>41</x:v>
      </x:c>
    </x:row>
    <x:row r="5">
      <x:c r="A5" s="13" t="str">
        <x:v>Bootstrap</x:v>
      </x:c>
      <x:c r="B5" s="14" t="str">
        <x:v>200000 resamples; base seed 20260902</x:v>
      </x:c>
    </x:row>
    <x:row r="6" ht="22" customHeight="1">
      <x:c r="A6" s="18" t="str">
        <x:v>Overall Results</x:v>
      </x:c>
      <x:c r="B6" s="18"/>
      <x:c r="C6" s="18"/>
      <x:c r="D6" s="18"/>
      <x:c r="E6" s="18"/>
      <x:c r="F6" s="18"/>
      <x:c r="G6" s="18"/>
      <x:c r="H6" s="18"/>
      <x:c r="I6" s="18"/>
      <x:c r="J6" s="18"/>
    </x:row>
    <x:row r="7" ht="30" customHeight="1">
      <x:c r="A7" s="5" t="str">
        <x:v>Condition ID</x:v>
      </x:c>
      <x:c r="B7" s="5" t="str">
        <x:v>Condition</x:v>
      </x:c>
      <x:c r="C7" s="5" t="str">
        <x:v>Correct</x:v>
      </x:c>
      <x:c r="D7" s="5" t="str">
        <x:v>Total</x:v>
      </x:c>
      <x:c r="E7" s="5" t="str">
        <x:v>Accuracy</x:v>
      </x:c>
      <x:c r="F7" s="5" t="str">
        <x:v>Valid Answers</x:v>
      </x:c>
      <x:c r="G7" s="5" t="str">
        <x:v>Valid Rate</x:v>
      </x:c>
      <x:c r="H7" s="5" t="str">
        <x:v>Truncated</x:v>
      </x:c>
      <x:c r="I7" s="5" t="str">
        <x:v>Truncation Rate</x:v>
      </x:c>
      <x:c r="J7" s="5" t="str">
        <x:v>Conditional Accuracy</x:v>
      </x:c>
    </x:row>
    <x:row r="8">
      <x:c r="A8" t="str">
        <x:v>full_image</x:v>
      </x:c>
      <x:c r="B8" t="str">
        <x:v>Full Image</x:v>
      </x:c>
      <x:c r="C8" s="19" t="n">
        <x:f>SUM('Per Item'!D2:D42)</x:f>
        <x:v>29</x:v>
      </x:c>
      <x:c r="D8" s="19" t="n">
        <x:f>COUNTA('Per Item'!A2:A42)</x:f>
        <x:v>41</x:v>
      </x:c>
      <x:c r="E8" s="20" t="n">
        <x:f>IFERROR(C8/D8,0)</x:f>
        <x:v>0.7073170731707317</x:v>
      </x:c>
      <x:c r="F8" s="19" t="n">
        <x:f>COUNTIF('Per Item'!E2:E42,"valid")</x:f>
        <x:v>34</x:v>
      </x:c>
      <x:c r="G8" s="20" t="n">
        <x:f>IFERROR(F8/D8,0)</x:f>
        <x:v>0.8292682926829268</x:v>
      </x:c>
      <x:c r="H8" s="19" t="n">
        <x:f>COUNTIF('Per Item'!E2:E42,"truncated")</x:f>
        <x:v>7</x:v>
      </x:c>
      <x:c r="I8" s="20" t="n">
        <x:f>IFERROR(H8/D8,0)</x:f>
        <x:v>0.17073170731707318</x:v>
      </x:c>
      <x:c r="J8" s="20" t="n">
        <x:f>IFERROR(SUMIFS('Per Item'!D2:D42,'Per Item'!E2:E42,"valid")/F8,0)</x:f>
        <x:v>0.8529411764705882</x:v>
      </x:c>
    </x:row>
    <x:row r="9">
      <x:c r="A9" t="str">
        <x:v>gt_mask_in</x:v>
      </x:c>
      <x:c r="B9" t="str">
        <x:v>GT Mask-In</x:v>
      </x:c>
      <x:c r="C9" s="19" t="n">
        <x:f>SUM('Per Item'!G2:G42)</x:f>
        <x:v>29</x:v>
      </x:c>
      <x:c r="D9" s="19" t="n">
        <x:f>COUNTA('Per Item'!A2:A42)</x:f>
        <x:v>41</x:v>
      </x:c>
      <x:c r="E9" s="20" t="n">
        <x:f>IFERROR(C9/D9,0)</x:f>
        <x:v>0.7073170731707317</x:v>
      </x:c>
      <x:c r="F9" s="19" t="n">
        <x:f>COUNTIF('Per Item'!H2:H42,"valid")</x:f>
        <x:v>33</x:v>
      </x:c>
      <x:c r="G9" s="20" t="n">
        <x:f>IFERROR(F9/D9,0)</x:f>
        <x:v>0.8048780487804879</x:v>
      </x:c>
      <x:c r="H9" s="19" t="n">
        <x:f>COUNTIF('Per Item'!H2:H42,"truncated")</x:f>
        <x:v>8</x:v>
      </x:c>
      <x:c r="I9" s="20" t="n">
        <x:f>IFERROR(H9/D9,0)</x:f>
        <x:v>0.1951219512195122</x:v>
      </x:c>
      <x:c r="J9" s="20" t="n">
        <x:f>IFERROR(SUMIFS('Per Item'!G2:G42,'Per Item'!H2:H42,"valid")/F9,0)</x:f>
        <x:v>0.8787878787878788</x:v>
      </x:c>
    </x:row>
    <x:row r="10">
      <x:c r="A10" t="str">
        <x:v>gt_mask_out</x:v>
      </x:c>
      <x:c r="B10" t="str">
        <x:v>GT Mask-Out</x:v>
      </x:c>
      <x:c r="C10" s="19" t="n">
        <x:f>SUM('Per Item'!J2:J42)</x:f>
        <x:v>11</x:v>
      </x:c>
      <x:c r="D10" s="19" t="n">
        <x:f>COUNTA('Per Item'!A2:A42)</x:f>
        <x:v>41</x:v>
      </x:c>
      <x:c r="E10" s="20" t="n">
        <x:f>IFERROR(C10/D10,0)</x:f>
        <x:v>0.2682926829268293</x:v>
      </x:c>
      <x:c r="F10" s="19" t="n">
        <x:f>COUNTIF('Per Item'!K2:K42,"valid")</x:f>
        <x:v>23</x:v>
      </x:c>
      <x:c r="G10" s="20" t="n">
        <x:f>IFERROR(F10/D10,0)</x:f>
        <x:v>0.5609756097560976</x:v>
      </x:c>
      <x:c r="H10" s="19" t="n">
        <x:f>COUNTIF('Per Item'!K2:K42,"truncated")</x:f>
        <x:v>18</x:v>
      </x:c>
      <x:c r="I10" s="20" t="n">
        <x:f>IFERROR(H10/D10,0)</x:f>
        <x:v>0.43902439024390244</x:v>
      </x:c>
      <x:c r="J10" s="20" t="n">
        <x:f>IFERROR(SUMIFS('Per Item'!J2:J42,'Per Item'!K2:K42,"valid")/F10,0)</x:f>
        <x:v>0.4782608695652174</x:v>
      </x:c>
    </x:row>
    <x:row r="11">
      <x:c r="A11" t="str">
        <x:v>random_mask_in_1</x:v>
      </x:c>
      <x:c r="B11" t="str">
        <x:v>Random Mask-In (seed 20260901)</x:v>
      </x:c>
      <x:c r="C11" s="19" t="n">
        <x:f>SUM('Per Item'!M2:M42)</x:f>
        <x:v>5</x:v>
      </x:c>
      <x:c r="D11" s="19" t="n">
        <x:f>COUNTA('Per Item'!A2:A42)</x:f>
        <x:v>41</x:v>
      </x:c>
      <x:c r="E11" s="20" t="n">
        <x:f>IFERROR(C11/D11,0)</x:f>
        <x:v>0.12195121951219512</x:v>
      </x:c>
      <x:c r="F11" s="19" t="n">
        <x:f>COUNTIF('Per Item'!N2:N42,"valid")</x:f>
        <x:v>23</x:v>
      </x:c>
      <x:c r="G11" s="20" t="n">
        <x:f>IFERROR(F11/D11,0)</x:f>
        <x:v>0.5609756097560976</x:v>
      </x:c>
      <x:c r="H11" s="19" t="n">
        <x:f>COUNTIF('Per Item'!N2:N42,"truncated")</x:f>
        <x:v>18</x:v>
      </x:c>
      <x:c r="I11" s="20" t="n">
        <x:f>IFERROR(H11/D11,0)</x:f>
        <x:v>0.43902439024390244</x:v>
      </x:c>
      <x:c r="J11" s="20" t="n">
        <x:f>IFERROR(SUMIFS('Per Item'!M2:M42,'Per Item'!N2:N42,"valid")/F11,0)</x:f>
        <x:v>0.21739130434782608</x:v>
      </x:c>
    </x:row>
    <x:row r="12">
      <x:c r="A12" t="str">
        <x:v>random_mask_in_2</x:v>
      </x:c>
      <x:c r="B12" t="str">
        <x:v>Random Mask-In (seed 20260902)</x:v>
      </x:c>
      <x:c r="C12" s="19" t="n">
        <x:f>SUM('Per Item'!P2:P42)</x:f>
        <x:v>1</x:v>
      </x:c>
      <x:c r="D12" s="19" t="n">
        <x:f>COUNTA('Per Item'!A2:A42)</x:f>
        <x:v>41</x:v>
      </x:c>
      <x:c r="E12" s="20" t="n">
        <x:f>IFERROR(C12/D12,0)</x:f>
        <x:v>0.024390243902439025</x:v>
      </x:c>
      <x:c r="F12" s="19" t="n">
        <x:f>COUNTIF('Per Item'!Q2:Q42,"valid")</x:f>
        <x:v>28</x:v>
      </x:c>
      <x:c r="G12" s="20" t="n">
        <x:f>IFERROR(F12/D12,0)</x:f>
        <x:v>0.6829268292682927</x:v>
      </x:c>
      <x:c r="H12" s="19" t="n">
        <x:f>COUNTIF('Per Item'!Q2:Q42,"truncated")</x:f>
        <x:v>13</x:v>
      </x:c>
      <x:c r="I12" s="20" t="n">
        <x:f>IFERROR(H12/D12,0)</x:f>
        <x:v>0.3170731707317073</x:v>
      </x:c>
      <x:c r="J12" s="20" t="n">
        <x:f>IFERROR(SUMIFS('Per Item'!P2:P42,'Per Item'!Q2:Q42,"valid")/F12,0)</x:f>
        <x:v>0.03571428571428571</x:v>
      </x:c>
    </x:row>
    <x:row r="13">
      <x:c r="A13" t="str">
        <x:v>random_mask_in_3</x:v>
      </x:c>
      <x:c r="B13" t="str">
        <x:v>Random Mask-In (seed 20260903)</x:v>
      </x:c>
      <x:c r="C13" s="19" t="n">
        <x:f>SUM('Per Item'!S2:S42)</x:f>
        <x:v>1</x:v>
      </x:c>
      <x:c r="D13" s="19" t="n">
        <x:f>COUNTA('Per Item'!A2:A42)</x:f>
        <x:v>41</x:v>
      </x:c>
      <x:c r="E13" s="20" t="n">
        <x:f>IFERROR(C13/D13,0)</x:f>
        <x:v>0.024390243902439025</x:v>
      </x:c>
      <x:c r="F13" s="19" t="n">
        <x:f>COUNTIF('Per Item'!T2:T42,"valid")</x:f>
        <x:v>25</x:v>
      </x:c>
      <x:c r="G13" s="20" t="n">
        <x:f>IFERROR(F13/D13,0)</x:f>
        <x:v>0.6097560975609756</x:v>
      </x:c>
      <x:c r="H13" s="19" t="n">
        <x:f>COUNTIF('Per Item'!T2:T42,"truncated")</x:f>
        <x:v>16</x:v>
      </x:c>
      <x:c r="I13" s="20" t="n">
        <x:f>IFERROR(H13/D13,0)</x:f>
        <x:v>0.3902439024390244</x:v>
      </x:c>
      <x:c r="J13" s="20" t="n">
        <x:f>IFERROR(SUMIFS('Per Item'!S2:S42,'Per Item'!T2:T42,"valid")/F13,0)</x:f>
        <x:v>0.04</x:v>
      </x:c>
    </x:row>
    <x:row r="14">
      <x:c r="A14" t="str">
        <x:v>gt_roi</x:v>
      </x:c>
      <x:c r="B14" t="str">
        <x:v>GT ROI</x:v>
      </x:c>
      <x:c r="C14" s="19" t="n">
        <x:f>SUM('Per Item'!V2:V42)</x:f>
        <x:v>25</x:v>
      </x:c>
      <x:c r="D14" s="19" t="n">
        <x:f>COUNTA('Per Item'!A2:A42)</x:f>
        <x:v>41</x:v>
      </x:c>
      <x:c r="E14" s="20" t="n">
        <x:f>IFERROR(C14/D14,0)</x:f>
        <x:v>0.6097560975609756</x:v>
      </x:c>
      <x:c r="F14" s="19" t="n">
        <x:f>COUNTIF('Per Item'!W2:W42,"valid")</x:f>
        <x:v>29</x:v>
      </x:c>
      <x:c r="G14" s="20" t="n">
        <x:f>IFERROR(F14/D14,0)</x:f>
        <x:v>0.7073170731707317</x:v>
      </x:c>
      <x:c r="H14" s="19" t="n">
        <x:f>COUNTIF('Per Item'!W2:W42,"truncated")</x:f>
        <x:v>12</x:v>
      </x:c>
      <x:c r="I14" s="20" t="n">
        <x:f>IFERROR(H14/D14,0)</x:f>
        <x:v>0.2926829268292683</x:v>
      </x:c>
      <x:c r="J14" s="20" t="n">
        <x:f>IFERROR(SUMIFS('Per Item'!V2:V42,'Per Item'!W2:W42,"valid")/F14,0)</x:f>
        <x:v>0.8620689655172413</x:v>
      </x:c>
    </x:row>
    <x:row r="15">
      <x:c r="A15" s="21" t="str">
        <x:v>random_mask_in_mean</x:v>
      </x:c>
      <x:c r="B15" s="21" t="str">
        <x:v>Random Mask-In (3-seed mean)</x:v>
      </x:c>
      <x:c r="C15" s="22" t="n">
        <x:f>AVERAGE(C11,C12,C13)</x:f>
        <x:v>2.3333333333333335</x:v>
      </x:c>
      <x:c r="D15" s="22" t="n">
        <x:f>D11</x:f>
        <x:v>41</x:v>
      </x:c>
      <x:c r="E15" s="23" t="n">
        <x:f>IFERROR(C15/D15,0)</x:f>
        <x:v>0.05691056910569106</x:v>
      </x:c>
      <x:c r="F15" s="22" t="n">
        <x:f>AVERAGE(F11,F12,F13)</x:f>
        <x:v>25.333333333333332</x:v>
      </x:c>
      <x:c r="G15" s="23" t="n">
        <x:f>IFERROR(F15/D15,0)</x:f>
        <x:v>0.6178861788617885</x:v>
      </x:c>
      <x:c r="H15" s="22" t="n">
        <x:f>AVERAGE(H11,H12,H13)</x:f>
        <x:v>15.666666666666666</x:v>
      </x:c>
      <x:c r="I15" s="23" t="n">
        <x:f>IFERROR(H15/D15,0)</x:f>
        <x:v>0.38211382113821135</x:v>
      </x:c>
      <x:c r="J15" s="23" t="n">
        <x:f>IFERROR(SUM(C11,C12,C13)/SUM(F11,F12,F13),0)</x:f>
        <x:v>0.09210526315789473</x:v>
      </x:c>
    </x:row>
    <x:row r="17" ht="22" customHeight="1">
      <x:c r="A17" s="18" t="str">
        <x:v>Primary Paired Comparisons</x:v>
      </x:c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</x:row>
    <x:row r="18" ht="30" customHeight="1">
      <x:c r="A18" s="5" t="str">
        <x:v>Comparison</x:v>
      </x:c>
      <x:c r="B18" s="5" t="str">
        <x:v>Treatment</x:v>
      </x:c>
      <x:c r="C18" s="5" t="str">
        <x:v>Reference</x:v>
      </x:c>
      <x:c r="D18" s="5" t="str">
        <x:v>Delta (pp)</x:v>
      </x:c>
      <x:c r="E18" s="5" t="str">
        <x:v>95% CI Low</x:v>
      </x:c>
      <x:c r="F18" s="5" t="str">
        <x:v>95% CI High</x:v>
      </x:c>
      <x:c r="G18" s="5" t="str">
        <x:v>McNemar p</x:v>
      </x:c>
      <x:c r="H18" s="5" t="str">
        <x:v>Treatment Only</x:v>
      </x:c>
      <x:c r="I18" s="5" t="str">
        <x:v>Reference Only</x:v>
      </x:c>
      <x:c r="J18" s="5" t="str">
        <x:v>Both Correct</x:v>
      </x:c>
      <x:c r="K18" s="5" t="str">
        <x:v>Both Wrong</x:v>
      </x:c>
    </x:row>
    <x:row r="19">
      <x:c r="A19" t="str">
        <x:v>gt_in_minus_full</x:v>
      </x:c>
      <x:c r="B19" t="str">
        <x:v>gt_mask_in</x:v>
      </x:c>
      <x:c r="C19" t="str">
        <x:v>full_image</x:v>
      </x:c>
      <x:c r="D19" s="24" t="n">
        <x:v>0</x:v>
      </x:c>
      <x:c r="E19" s="24" t="n">
        <x:v>-17.073170731707318</x:v>
      </x:c>
      <x:c r="F19" s="24" t="n">
        <x:v>17.073170731707318</x:v>
      </x:c>
      <x:c r="G19" s="25" t="n">
        <x:v>1</x:v>
      </x:c>
      <x:c r="H19" t="n">
        <x:v>7</x:v>
      </x:c>
      <x:c r="I19" t="n">
        <x:v>7</x:v>
      </x:c>
      <x:c r="J19" t="n">
        <x:v>22</x:v>
      </x:c>
      <x:c r="K19" t="n">
        <x:v>5</x:v>
      </x:c>
    </x:row>
    <x:row r="20">
      <x:c r="A20" t="str">
        <x:v>full_minus_gt_out</x:v>
      </x:c>
      <x:c r="B20" t="str">
        <x:v>full_image</x:v>
      </x:c>
      <x:c r="C20" t="str">
        <x:v>gt_mask_out</x:v>
      </x:c>
      <x:c r="D20" s="24" t="n">
        <x:v>43.90243902439025</x:v>
      </x:c>
      <x:c r="E20" s="24" t="n">
        <x:v>24.390243902439025</x:v>
      </x:c>
      <x:c r="F20" s="24" t="n">
        <x:v>63.41463414634146</x:v>
      </x:c>
      <x:c r="G20" s="25" t="n">
        <x:v>0.0002771615982055664</x:v>
      </x:c>
      <x:c r="H20" t="n">
        <x:v>21</x:v>
      </x:c>
      <x:c r="I20" t="n">
        <x:v>3</x:v>
      </x:c>
      <x:c r="J20" t="n">
        <x:v>8</x:v>
      </x:c>
      <x:c r="K20" t="n">
        <x:v>9</x:v>
      </x:c>
    </x:row>
    <x:row r="21">
      <x:c r="A21" t="str">
        <x:v>gt_roi_minus_gt_in</x:v>
      </x:c>
      <x:c r="B21" t="str">
        <x:v>gt_roi</x:v>
      </x:c>
      <x:c r="C21" t="str">
        <x:v>gt_mask_in</x:v>
      </x:c>
      <x:c r="D21" s="24" t="n">
        <x:v>-9.75609756097561</x:v>
      </x:c>
      <x:c r="E21" s="24" t="n">
        <x:v>-24.390243902439025</x:v>
      </x:c>
      <x:c r="F21" s="24" t="n">
        <x:v>2.4390243902439024</x:v>
      </x:c>
      <x:c r="G21" s="25" t="n">
        <x:v>0.2890625</x:v>
      </x:c>
      <x:c r="H21" t="n">
        <x:v>2</x:v>
      </x:c>
      <x:c r="I21" t="n">
        <x:v>6</x:v>
      </x:c>
      <x:c r="J21" t="n">
        <x:v>23</x:v>
      </x:c>
      <x:c r="K21" t="n">
        <x:v>10</x:v>
      </x:c>
    </x:row>
    <x:row r="22">
      <x:c r="A22" t="str">
        <x:v>gt_in_minus_random_mask_in_1</x:v>
      </x:c>
      <x:c r="B22" t="str">
        <x:v>gt_mask_in</x:v>
      </x:c>
      <x:c r="C22" t="str">
        <x:v>random_mask_in_1</x:v>
      </x:c>
      <x:c r="D22" s="24" t="n">
        <x:v>58.536585365853654</x:v>
      </x:c>
      <x:c r="E22" s="24" t="n">
        <x:v>41.46341463414634</x:v>
      </x:c>
      <x:c r="F22" s="24" t="n">
        <x:v>75.60975609756098</x:v>
      </x:c>
      <x:c r="G22" s="25" t="n">
        <x:v>8.046627044677734e-7</x:v>
      </x:c>
      <x:c r="H22" t="n">
        <x:v>25</x:v>
      </x:c>
      <x:c r="I22" t="n">
        <x:v>1</x:v>
      </x:c>
      <x:c r="J22" t="n">
        <x:v>4</x:v>
      </x:c>
      <x:c r="K22" t="n">
        <x:v>11</x:v>
      </x:c>
    </x:row>
    <x:row r="23">
      <x:c r="A23" t="str">
        <x:v>gt_in_minus_random_mask_in_2</x:v>
      </x:c>
      <x:c r="B23" t="str">
        <x:v>gt_mask_in</x:v>
      </x:c>
      <x:c r="C23" t="str">
        <x:v>random_mask_in_2</x:v>
      </x:c>
      <x:c r="D23" s="24" t="n">
        <x:v>68.29268292682927</x:v>
      </x:c>
      <x:c r="E23" s="24" t="n">
        <x:v>53.65853658536586</x:v>
      </x:c>
      <x:c r="F23" s="24" t="n">
        <x:v>82.92682926829268</x:v>
      </x:c>
      <x:c r="G23" s="25" t="n">
        <x:v>7.450580596923828e-9</x:v>
      </x:c>
      <x:c r="H23" t="n">
        <x:v>28</x:v>
      </x:c>
      <x:c r="I23" t="n">
        <x:v>0</x:v>
      </x:c>
      <x:c r="J23" t="n">
        <x:v>1</x:v>
      </x:c>
      <x:c r="K23" t="n">
        <x:v>12</x:v>
      </x:c>
    </x:row>
    <x:row r="24">
      <x:c r="A24" t="str">
        <x:v>gt_in_minus_random_mask_in_3</x:v>
      </x:c>
      <x:c r="B24" t="str">
        <x:v>gt_mask_in</x:v>
      </x:c>
      <x:c r="C24" t="str">
        <x:v>random_mask_in_3</x:v>
      </x:c>
      <x:c r="D24" s="24" t="n">
        <x:v>68.29268292682927</x:v>
      </x:c>
      <x:c r="E24" s="24" t="n">
        <x:v>53.65853658536586</x:v>
      </x:c>
      <x:c r="F24" s="24" t="n">
        <x:v>82.92682926829268</x:v>
      </x:c>
      <x:c r="G24" s="25" t="n">
        <x:v>7.450580596923828e-9</x:v>
      </x:c>
      <x:c r="H24" t="n">
        <x:v>28</x:v>
      </x:c>
      <x:c r="I24" t="n">
        <x:v>0</x:v>
      </x:c>
      <x:c r="J24" t="n">
        <x:v>1</x:v>
      </x:c>
      <x:c r="K24" t="n">
        <x:v>12</x:v>
      </x:c>
    </x:row>
    <x:row r="25">
      <x:c r="A25" t="str">
        <x:v>gt_in_minus_random_mean</x:v>
      </x:c>
      <x:c r="B25" t="str">
        <x:v>gt_mask_in</x:v>
      </x:c>
      <x:c r="C25" t="str">
        <x:v>random_mask_in_mean</x:v>
      </x:c>
      <x:c r="D25" s="24" t="n">
        <x:v>65.04065040650407</x:v>
      </x:c>
      <x:c r="E25" s="24" t="n">
        <x:v>51.21951219512195</x:v>
      </x:c>
      <x:c r="F25" s="24" t="n">
        <x:v>78.86178861788616</x:v>
      </x:c>
      <x:c r="G25" s="25"/>
      <x:c r="H25" t="n">
        <x:v>0</x:v>
      </x:c>
      <x:c r="I25" t="n">
        <x:v>0</x:v>
      </x:c>
      <x:c r="J25" t="n">
        <x:v>0</x:v>
      </x:c>
      <x:c r="K25" t="n">
        <x:v>0</x:v>
      </x:c>
    </x:row>
    <x:row r="26">
      <x:c r="A26" t="str">
        <x:v>gt_out_minus_random_mean</x:v>
      </x:c>
      <x:c r="B26" t="str">
        <x:v>gt_mask_out</x:v>
      </x:c>
      <x:c r="C26" t="str">
        <x:v>random_mask_in_mean</x:v>
      </x:c>
      <x:c r="D26" s="24" t="n">
        <x:v>21.138211382113823</x:v>
      </x:c>
      <x:c r="E26" s="24" t="n">
        <x:v>8.130081300813009</x:v>
      </x:c>
      <x:c r="F26" s="24" t="n">
        <x:v>34.959349593495936</x:v>
      </x:c>
      <x:c r="G26" s="25"/>
      <x:c r="H26" t="n">
        <x:v>0</x:v>
      </x:c>
      <x:c r="I26" t="n">
        <x:v>0</x:v>
      </x:c>
      <x:c r="J26" t="n">
        <x:v>0</x:v>
      </x:c>
      <x:c r="K26" t="n">
        <x:v>0</x:v>
      </x:c>
    </x:row>
    <x:row r="28" ht="22" customHeight="1">
      <x:c r="A28" s="18" t="str">
        <x:v>Interpretation Notes</x:v>
      </x:c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</x:row>
    <x:row r="29" ht="30" customHeight="1">
      <x:c r="A29" s="27" t="str">
        <x:v>Accuracy denominators include all 41 questions; truncated outputs are counted as incorrect, per the experiment protocol.</x:v>
      </x:c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</x:row>
    <x:row r="30" ht="30" customHeight="1">
      <x:c r="A30" s="27" t="str">
        <x:v>Paired confidence intervals use item-level bootstrap resampling. Random-mask aggregate intervals resample questions as clusters and retain all three seeds.</x:v>
      </x:c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</x:row>
    <x:row r="31" ht="30" customHeight="1">
      <x:c r="A31" s="27" t="str">
        <x:v>McNemar exact p-values are reported only for binary one-condition-vs-one-condition comparisons.</x:v>
      </x:c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</x:row>
    <x:row r="32" ht="30" customHeight="1">
      <x:c r="A32" s="27" t="str">
        <x:v>The source workbooks and every file listed in each FROZEN.json manifest were SHA-256 verified before analysis.</x:v>
      </x:c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</x:row>
  </x:sheetData>
  <x:mergeCells>
    <x:mergeCell ref="A1:J1"/>
    <x:mergeCell ref="A6:J6"/>
    <x:mergeCell ref="A17:K17"/>
    <x:mergeCell ref="A28:K28"/>
    <x:mergeCell ref="A29:K29"/>
    <x:mergeCell ref="A30:K30"/>
    <x:mergeCell ref="A31:K31"/>
    <x:mergeCell ref="A32:K32"/>
  </x:mergeCells>
  <x:conditionalFormatting sqref="D19:F26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2">
    <x:tablePart xmlns:r="http://schemas.openxmlformats.org/officeDocument/2006/relationships" r:id="Rd691f6b4c9064f40"/>
    <x:tablePart xmlns:r="http://schemas.openxmlformats.org/officeDocument/2006/relationships" r:id="R0421eb568abc4c8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2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42" hidden="0" customWidth="1"/>
    <x:col min="13" max="13" width="42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30" customHeight="1">
      <x:c r="A1" s="5" t="str">
        <x:v>Comparison ID</x:v>
      </x:c>
      <x:c r="B1" s="5" t="str">
        <x:v>Treatment</x:v>
      </x:c>
      <x:c r="C1" s="5" t="str">
        <x:v>Reference</x:v>
      </x:c>
      <x:c r="D1" s="5" t="str">
        <x:v>Delta (pp)</x:v>
      </x:c>
      <x:c r="E1" s="5" t="str">
        <x:v>95% CI Low</x:v>
      </x:c>
      <x:c r="F1" s="5" t="str">
        <x:v>95% CI High</x:v>
      </x:c>
      <x:c r="G1" s="5" t="str">
        <x:v>McNemar p</x:v>
      </x:c>
      <x:c r="H1" s="5" t="str">
        <x:v>Treatment Only</x:v>
      </x:c>
      <x:c r="I1" s="5" t="str">
        <x:v>Reference Only</x:v>
      </x:c>
      <x:c r="J1" s="5" t="str">
        <x:v>Both Correct</x:v>
      </x:c>
      <x:c r="K1" s="5" t="str">
        <x:v>Both Wrong</x:v>
      </x:c>
      <x:c r="L1" s="5" t="str">
        <x:v>Treatment-only Indices</x:v>
      </x:c>
      <x:c r="M1" s="5" t="str">
        <x:v>Reference-only Indices</x:v>
      </x:c>
      <x:c r="N1" s="5" t="str">
        <x:v>Bootstrap Seed</x:v>
      </x:c>
      <x:c r="O1" s="5" t="str">
        <x:v>Bootstrap Samples</x:v>
      </x:c>
      <x:c r="P1" s="5" t="str">
        <x:v>CI Method</x:v>
      </x:c>
    </x:row>
    <x:row r="2">
      <x:c r="A2" t="str">
        <x:v>gt_in_minus_full</x:v>
      </x:c>
      <x:c r="B2" t="str">
        <x:v>gt_mask_in</x:v>
      </x:c>
      <x:c r="C2" t="str">
        <x:v>full_image</x:v>
      </x:c>
      <x:c r="D2" s="24" t="n">
        <x:v>0</x:v>
      </x:c>
      <x:c r="E2" s="24" t="n">
        <x:v>-17.073170731707318</x:v>
      </x:c>
      <x:c r="F2" s="24" t="n">
        <x:v>17.073170731707318</x:v>
      </x:c>
      <x:c r="G2" s="25" t="n">
        <x:v>1</x:v>
      </x:c>
      <x:c r="H2" t="n">
        <x:v>7</x:v>
      </x:c>
      <x:c r="I2" t="n">
        <x:v>7</x:v>
      </x:c>
      <x:c r="J2" t="n">
        <x:v>22</x:v>
      </x:c>
      <x:c r="K2" t="n">
        <x:v>5</x:v>
      </x:c>
      <x:c r="L2" t="str">
        <x:v>1, 407, 436, 622, 650, 724, 885</x:v>
      </x:c>
      <x:c r="M2" t="str">
        <x:v>8, 17, 21, 346, 547, 880, 924</x:v>
      </x:c>
      <x:c r="N2" t="n">
        <x:v>20260902</x:v>
      </x:c>
      <x:c r="O2" t="n">
        <x:v>200000</x:v>
      </x:c>
      <x:c r="P2" t="str">
        <x:v>exact_mcnemar_binomial</x:v>
      </x:c>
    </x:row>
    <x:row r="3">
      <x:c r="A3" t="str">
        <x:v>full_minus_gt_out</x:v>
      </x:c>
      <x:c r="B3" t="str">
        <x:v>full_image</x:v>
      </x:c>
      <x:c r="C3" t="str">
        <x:v>gt_mask_out</x:v>
      </x:c>
      <x:c r="D3" s="24" t="n">
        <x:v>43.90243902439025</x:v>
      </x:c>
      <x:c r="E3" s="24" t="n">
        <x:v>24.390243902439025</x:v>
      </x:c>
      <x:c r="F3" s="24" t="n">
        <x:v>63.41463414634146</x:v>
      </x:c>
      <x:c r="G3" s="25" t="n">
        <x:v>0.0002771615982055664</x:v>
      </x:c>
      <x:c r="H3" t="n">
        <x:v>21</x:v>
      </x:c>
      <x:c r="I3" t="n">
        <x:v>3</x:v>
      </x:c>
      <x:c r="J3" t="n">
        <x:v>8</x:v>
      </x:c>
      <x:c r="K3" t="n">
        <x:v>9</x:v>
      </x:c>
      <x:c r="L3" t="str">
        <x:v>8, 17, 21, 27, 85, 128, 168, 238, 254, 270, 279, 324, 397, 547, 608, 756, 813, 880, 914, 924, 973</x:v>
      </x:c>
      <x:c r="M3" t="str">
        <x:v>622, 885, 904</x:v>
      </x:c>
      <x:c r="N3" t="n">
        <x:v>20260903</x:v>
      </x:c>
      <x:c r="O3" t="n">
        <x:v>200000</x:v>
      </x:c>
      <x:c r="P3" t="str">
        <x:v>exact_mcnemar_binomial</x:v>
      </x:c>
    </x:row>
    <x:row r="4">
      <x:c r="A4" t="str">
        <x:v>gt_roi_minus_gt_in</x:v>
      </x:c>
      <x:c r="B4" t="str">
        <x:v>gt_roi</x:v>
      </x:c>
      <x:c r="C4" t="str">
        <x:v>gt_mask_in</x:v>
      </x:c>
      <x:c r="D4" s="24" t="n">
        <x:v>-9.75609756097561</x:v>
      </x:c>
      <x:c r="E4" s="24" t="n">
        <x:v>-24.390243902439025</x:v>
      </x:c>
      <x:c r="F4" s="24" t="n">
        <x:v>2.4390243902439024</x:v>
      </x:c>
      <x:c r="G4" s="25" t="n">
        <x:v>0.2890625</x:v>
      </x:c>
      <x:c r="H4" t="n">
        <x:v>2</x:v>
      </x:c>
      <x:c r="I4" t="n">
        <x:v>6</x:v>
      </x:c>
      <x:c r="J4" t="n">
        <x:v>23</x:v>
      </x:c>
      <x:c r="K4" t="n">
        <x:v>10</x:v>
      </x:c>
      <x:c r="L4" t="str">
        <x:v>8, 547</x:v>
      </x:c>
      <x:c r="M4" t="str">
        <x:v>1, 27, 436, 650, 654, 724</x:v>
      </x:c>
      <x:c r="N4" t="n">
        <x:v>20260904</x:v>
      </x:c>
      <x:c r="O4" t="n">
        <x:v>200000</x:v>
      </x:c>
      <x:c r="P4" t="str">
        <x:v>exact_mcnemar_binomial</x:v>
      </x:c>
    </x:row>
    <x:row r="5">
      <x:c r="A5" t="str">
        <x:v>gt_in_minus_random_mask_in_1</x:v>
      </x:c>
      <x:c r="B5" t="str">
        <x:v>gt_mask_in</x:v>
      </x:c>
      <x:c r="C5" t="str">
        <x:v>random_mask_in_1</x:v>
      </x:c>
      <x:c r="D5" s="24" t="n">
        <x:v>58.536585365853654</x:v>
      </x:c>
      <x:c r="E5" s="24" t="n">
        <x:v>41.46341463414634</x:v>
      </x:c>
      <x:c r="F5" s="24" t="n">
        <x:v>75.60975609756098</x:v>
      </x:c>
      <x:c r="G5" s="25" t="n">
        <x:v>8.046627044677734e-7</x:v>
      </x:c>
      <x:c r="H5" t="n">
        <x:v>25</x:v>
      </x:c>
      <x:c r="I5" t="n">
        <x:v>1</x:v>
      </x:c>
      <x:c r="J5" t="n">
        <x:v>4</x:v>
      </x:c>
      <x:c r="K5" t="n">
        <x:v>11</x:v>
      </x:c>
      <x:c r="L5" t="str">
        <x:v>1, 27, 59, 85, 128, 168, 238, 254, 270, 279, 324, 397, 407, 436, 554, 608, 622, 650, 654, 724, 756, 813, 819, 916, 973</x:v>
      </x:c>
      <x:c r="M5" t="str">
        <x:v>17</x:v>
      </x:c>
      <x:c r="N5" t="n">
        <x:v>20260905</x:v>
      </x:c>
      <x:c r="O5" t="n">
        <x:v>200000</x:v>
      </x:c>
      <x:c r="P5" t="str">
        <x:v>exact_mcnemar_binomial</x:v>
      </x:c>
    </x:row>
    <x:row r="6">
      <x:c r="A6" t="str">
        <x:v>gt_in_minus_random_mask_in_2</x:v>
      </x:c>
      <x:c r="B6" t="str">
        <x:v>gt_mask_in</x:v>
      </x:c>
      <x:c r="C6" t="str">
        <x:v>random_mask_in_2</x:v>
      </x:c>
      <x:c r="D6" s="24" t="n">
        <x:v>68.29268292682927</x:v>
      </x:c>
      <x:c r="E6" s="24" t="n">
        <x:v>53.65853658536586</x:v>
      </x:c>
      <x:c r="F6" s="24" t="n">
        <x:v>82.92682926829268</x:v>
      </x:c>
      <x:c r="G6" s="25" t="n">
        <x:v>7.450580596923828e-9</x:v>
      </x:c>
      <x:c r="H6" t="n">
        <x:v>28</x:v>
      </x:c>
      <x:c r="I6" t="str"/>
      <x:c r="J6" t="n">
        <x:v>1</x:v>
      </x:c>
      <x:c r="K6" t="n">
        <x:v>12</x:v>
      </x:c>
      <x:c r="L6" t="str">
        <x:v>1, 27, 59, 85, 128, 164, 168, 238, 254, 270, 279, 397, 407, 436, 554, 608, 622, 650, 654, 724, 756, 813, 819, 855, 885, 914, 916, 973</x:v>
      </x:c>
      <x:c r="M6" t="str"/>
      <x:c r="N6" t="n">
        <x:v>20260906</x:v>
      </x:c>
      <x:c r="O6" t="n">
        <x:v>200000</x:v>
      </x:c>
      <x:c r="P6" t="str">
        <x:v>exact_mcnemar_binomial</x:v>
      </x:c>
    </x:row>
    <x:row r="7">
      <x:c r="A7" t="str">
        <x:v>gt_in_minus_random_mask_in_3</x:v>
      </x:c>
      <x:c r="B7" t="str">
        <x:v>gt_mask_in</x:v>
      </x:c>
      <x:c r="C7" t="str">
        <x:v>random_mask_in_3</x:v>
      </x:c>
      <x:c r="D7" s="24" t="n">
        <x:v>68.29268292682927</x:v>
      </x:c>
      <x:c r="E7" s="24" t="n">
        <x:v>53.65853658536586</x:v>
      </x:c>
      <x:c r="F7" s="24" t="n">
        <x:v>82.92682926829268</x:v>
      </x:c>
      <x:c r="G7" s="25" t="n">
        <x:v>7.450580596923828e-9</x:v>
      </x:c>
      <x:c r="H7" t="n">
        <x:v>28</x:v>
      </x:c>
      <x:c r="I7" t="str"/>
      <x:c r="J7" t="n">
        <x:v>1</x:v>
      </x:c>
      <x:c r="K7" t="n">
        <x:v>12</x:v>
      </x:c>
      <x:c r="L7" t="str">
        <x:v>1, 27, 59, 85, 128, 164, 168, 238, 254, 270, 279, 324, 397, 407, 436, 554, 622, 650, 654, 724, 756, 813, 819, 855, 885, 914, 916, 973</x:v>
      </x:c>
      <x:c r="M7" t="str"/>
      <x:c r="N7" t="n">
        <x:v>20260907</x:v>
      </x:c>
      <x:c r="O7" t="n">
        <x:v>200000</x:v>
      </x:c>
      <x:c r="P7" t="str">
        <x:v>exact_mcnemar_binomial</x:v>
      </x:c>
    </x:row>
    <x:row r="8">
      <x:c r="A8" t="str">
        <x:v>gt_in_minus_random_mean</x:v>
      </x:c>
      <x:c r="B8" t="str">
        <x:v>gt_mask_in</x:v>
      </x:c>
      <x:c r="C8" t="str">
        <x:v>random_mask_in_mean</x:v>
      </x:c>
      <x:c r="D8" s="24" t="n">
        <x:v>65.04065040650407</x:v>
      </x:c>
      <x:c r="E8" s="24" t="n">
        <x:v>51.21951219512195</x:v>
      </x:c>
      <x:c r="F8" s="24" t="n">
        <x:v>78.86178861788616</x:v>
      </x:c>
      <x:c r="G8" s="25" t="str"/>
      <x:c r="H8" t="str"/>
      <x:c r="I8" t="str"/>
      <x:c r="J8" t="str"/>
      <x:c r="K8" t="str"/>
      <x:c r="L8" t="str"/>
      <x:c r="M8" t="str"/>
      <x:c r="N8" t="n">
        <x:v>20260908</x:v>
      </x:c>
      <x:c r="O8" t="n">
        <x:v>200000</x:v>
      </x:c>
      <x:c r="P8" t="str">
        <x:v>not_applicable_to_fractional_random_seed_mean</x:v>
      </x:c>
    </x:row>
    <x:row r="9">
      <x:c r="A9" t="str">
        <x:v>gt_out_minus_random_mean</x:v>
      </x:c>
      <x:c r="B9" t="str">
        <x:v>gt_mask_out</x:v>
      </x:c>
      <x:c r="C9" t="str">
        <x:v>random_mask_in_mean</x:v>
      </x:c>
      <x:c r="D9" s="24" t="n">
        <x:v>21.138211382113823</x:v>
      </x:c>
      <x:c r="E9" s="24" t="n">
        <x:v>8.130081300813009</x:v>
      </x:c>
      <x:c r="F9" s="24" t="n">
        <x:v>34.959349593495936</x:v>
      </x:c>
      <x:c r="G9" s="25" t="str"/>
      <x:c r="H9" t="str"/>
      <x:c r="I9" t="str"/>
      <x:c r="J9" t="str"/>
      <x:c r="K9" t="str"/>
      <x:c r="L9" t="str"/>
      <x:c r="M9" t="str"/>
      <x:c r="N9" t="n">
        <x:v>20260909</x:v>
      </x:c>
      <x:c r="O9" t="n">
        <x:v>200000</x:v>
      </x:c>
      <x:c r="P9" t="str">
        <x:v>not_applicable_to_fractional_random_seed_mean</x:v>
      </x:c>
    </x:row>
  </x:sheetData>
  <x:pageMargins left="0.7" right="0.7" top="0.75" bottom="0.75" header="0.3" footer="0.3"/>
  <x:tableParts count="1">
    <x:tablePart xmlns:r="http://schemas.openxmlformats.org/officeDocument/2006/relationships" r:id="R39b32856eac3477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12" hidden="0" customWidth="1"/>
    <x:col min="4" max="4" width="22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0" customHeight="1">
      <x:c r="A1" s="5" t="str">
        <x:v>Condition ID</x:v>
      </x:c>
      <x:c r="B1" s="5" t="str">
        <x:v>Condition</x:v>
      </x:c>
      <x:c r="C1" s="5" t="str">
        <x:v>Category ID</x:v>
      </x:c>
      <x:c r="D1" s="5" t="str">
        <x:v>Category</x:v>
      </x:c>
      <x:c r="E1" s="5" t="str">
        <x:v>Correct</x:v>
      </x:c>
      <x:c r="F1" s="5" t="str">
        <x:v>Total</x:v>
      </x:c>
      <x:c r="G1" s="5" t="str">
        <x:v>Accuracy</x:v>
      </x:c>
    </x:row>
    <x:row r="2">
      <x:c r="A2" t="str">
        <x:v>full_image</x:v>
      </x:c>
      <x:c r="B2" t="str">
        <x:v>Full Image</x:v>
      </x:c>
      <x:c r="C2" t="n">
        <x:v>1</x:v>
      </x:c>
      <x:c r="D2" t="str">
        <x:v>Text-in-Chart</x:v>
      </x:c>
      <x:c r="E2" s="19" t="n">
        <x:f>SUMIFS('Per Item'!D2:D42,'Per Item'!B2:B42,C2)</x:f>
        <x:v>12</x:v>
      </x:c>
      <x:c r="F2" s="19" t="n">
        <x:f>COUNTIF('Per Item'!B2:B42,C2)</x:f>
        <x:v>16</x:v>
      </x:c>
      <x:c r="G2" s="20" t="n">
        <x:f>IFERROR(E2/F2,0)</x:f>
        <x:v>0.75</x:v>
      </x:c>
    </x:row>
    <x:row r="3">
      <x:c r="A3" t="str">
        <x:v>full_image</x:v>
      </x:c>
      <x:c r="B3" t="str">
        <x:v>Full Image</x:v>
      </x:c>
      <x:c r="C3" t="n">
        <x:v>2</x:v>
      </x:c>
      <x:c r="D3" t="str">
        <x:v>Text-in-General</x:v>
      </x:c>
      <x:c r="E3" s="19" t="n">
        <x:f>SUMIFS('Per Item'!D2:D42,'Per Item'!B2:B42,C3)</x:f>
        <x:v>5</x:v>
      </x:c>
      <x:c r="F3" s="19" t="n">
        <x:f>COUNTIF('Per Item'!B2:B42,C3)</x:f>
        <x:v>9</x:v>
      </x:c>
      <x:c r="G3" s="20" t="n">
        <x:f>IFERROR(E3/F3,0)</x:f>
        <x:v>0.5555555555555556</x:v>
      </x:c>
    </x:row>
    <x:row r="4">
      <x:c r="A4" t="str">
        <x:v>full_image</x:v>
      </x:c>
      <x:c r="B4" t="str">
        <x:v>Full Image</x:v>
      </x:c>
      <x:c r="C4" t="n">
        <x:v>3</x:v>
      </x:c>
      <x:c r="D4" t="str">
        <x:v>Number-in-Chart</x:v>
      </x:c>
      <x:c r="E4" s="19" t="n">
        <x:f>SUMIFS('Per Item'!D2:D42,'Per Item'!B2:B42,C4)</x:f>
        <x:v>9</x:v>
      </x:c>
      <x:c r="F4" s="19" t="n">
        <x:f>COUNTIF('Per Item'!B2:B42,C4)</x:f>
        <x:v>11</x:v>
      </x:c>
      <x:c r="G4" s="20" t="n">
        <x:f>IFERROR(E4/F4,0)</x:f>
        <x:v>0.8181818181818182</x:v>
      </x:c>
    </x:row>
    <x:row r="5">
      <x:c r="A5" t="str">
        <x:v>full_image</x:v>
      </x:c>
      <x:c r="B5" t="str">
        <x:v>Full Image</x:v>
      </x:c>
      <x:c r="C5" t="n">
        <x:v>4</x:v>
      </x:c>
      <x:c r="D5" t="str">
        <x:v>Number-in-General</x:v>
      </x:c>
      <x:c r="E5" s="19" t="n">
        <x:f>SUMIFS('Per Item'!D2:D42,'Per Item'!B2:B42,C5)</x:f>
        <x:v>3</x:v>
      </x:c>
      <x:c r="F5" s="19" t="n">
        <x:f>COUNTIF('Per Item'!B2:B42,C5)</x:f>
        <x:v>5</x:v>
      </x:c>
      <x:c r="G5" s="20" t="n">
        <x:f>IFERROR(E5/F5,0)</x:f>
        <x:v>0.6</x:v>
      </x:c>
    </x:row>
    <x:row r="6">
      <x:c r="A6" t="str">
        <x:v>gt_mask_in</x:v>
      </x:c>
      <x:c r="B6" t="str">
        <x:v>GT Mask-In</x:v>
      </x:c>
      <x:c r="C6" t="n">
        <x:v>1</x:v>
      </x:c>
      <x:c r="D6" t="str">
        <x:v>Text-in-Chart</x:v>
      </x:c>
      <x:c r="E6" s="19" t="n">
        <x:f>SUMIFS('Per Item'!G2:G42,'Per Item'!B2:B42,C6)</x:f>
        <x:v>14</x:v>
      </x:c>
      <x:c r="F6" s="19" t="n">
        <x:f>COUNTIF('Per Item'!B2:B42,C6)</x:f>
        <x:v>16</x:v>
      </x:c>
      <x:c r="G6" s="20" t="n">
        <x:f>IFERROR(E6/F6,0)</x:f>
        <x:v>0.875</x:v>
      </x:c>
    </x:row>
    <x:row r="7">
      <x:c r="A7" t="str">
        <x:v>gt_mask_in</x:v>
      </x:c>
      <x:c r="B7" t="str">
        <x:v>GT Mask-In</x:v>
      </x:c>
      <x:c r="C7" t="n">
        <x:v>2</x:v>
      </x:c>
      <x:c r="D7" t="str">
        <x:v>Text-in-General</x:v>
      </x:c>
      <x:c r="E7" s="19" t="n">
        <x:f>SUMIFS('Per Item'!G2:G42,'Per Item'!B2:B42,C7)</x:f>
        <x:v>6</x:v>
      </x:c>
      <x:c r="F7" s="19" t="n">
        <x:f>COUNTIF('Per Item'!B2:B42,C7)</x:f>
        <x:v>9</x:v>
      </x:c>
      <x:c r="G7" s="20" t="n">
        <x:f>IFERROR(E7/F7,0)</x:f>
        <x:v>0.6666666666666666</x:v>
      </x:c>
    </x:row>
    <x:row r="8">
      <x:c r="A8" t="str">
        <x:v>gt_mask_in</x:v>
      </x:c>
      <x:c r="B8" t="str">
        <x:v>GT Mask-In</x:v>
      </x:c>
      <x:c r="C8" t="n">
        <x:v>3</x:v>
      </x:c>
      <x:c r="D8" t="str">
        <x:v>Number-in-Chart</x:v>
      </x:c>
      <x:c r="E8" s="19" t="n">
        <x:f>SUMIFS('Per Item'!G2:G42,'Per Item'!B2:B42,C8)</x:f>
        <x:v>6</x:v>
      </x:c>
      <x:c r="F8" s="19" t="n">
        <x:f>COUNTIF('Per Item'!B2:B42,C8)</x:f>
        <x:v>11</x:v>
      </x:c>
      <x:c r="G8" s="20" t="n">
        <x:f>IFERROR(E8/F8,0)</x:f>
        <x:v>0.5454545454545454</x:v>
      </x:c>
    </x:row>
    <x:row r="9">
      <x:c r="A9" t="str">
        <x:v>gt_mask_in</x:v>
      </x:c>
      <x:c r="B9" t="str">
        <x:v>GT Mask-In</x:v>
      </x:c>
      <x:c r="C9" t="n">
        <x:v>4</x:v>
      </x:c>
      <x:c r="D9" t="str">
        <x:v>Number-in-General</x:v>
      </x:c>
      <x:c r="E9" s="19" t="n">
        <x:f>SUMIFS('Per Item'!G2:G42,'Per Item'!B2:B42,C9)</x:f>
        <x:v>3</x:v>
      </x:c>
      <x:c r="F9" s="19" t="n">
        <x:f>COUNTIF('Per Item'!B2:B42,C9)</x:f>
        <x:v>5</x:v>
      </x:c>
      <x:c r="G9" s="20" t="n">
        <x:f>IFERROR(E9/F9,0)</x:f>
        <x:v>0.6</x:v>
      </x:c>
    </x:row>
    <x:row r="10">
      <x:c r="A10" t="str">
        <x:v>gt_mask_out</x:v>
      </x:c>
      <x:c r="B10" t="str">
        <x:v>GT Mask-Out</x:v>
      </x:c>
      <x:c r="C10" t="n">
        <x:v>1</x:v>
      </x:c>
      <x:c r="D10" t="str">
        <x:v>Text-in-Chart</x:v>
      </x:c>
      <x:c r="E10" s="19" t="n">
        <x:f>SUMIFS('Per Item'!J2:J42,'Per Item'!B2:B42,C10)</x:f>
        <x:v>3</x:v>
      </x:c>
      <x:c r="F10" s="19" t="n">
        <x:f>COUNTIF('Per Item'!B2:B42,C10)</x:f>
        <x:v>16</x:v>
      </x:c>
      <x:c r="G10" s="20" t="n">
        <x:f>IFERROR(E10/F10,0)</x:f>
        <x:v>0.1875</x:v>
      </x:c>
    </x:row>
    <x:row r="11">
      <x:c r="A11" t="str">
        <x:v>gt_mask_out</x:v>
      </x:c>
      <x:c r="B11" t="str">
        <x:v>GT Mask-Out</x:v>
      </x:c>
      <x:c r="C11" t="n">
        <x:v>2</x:v>
      </x:c>
      <x:c r="D11" t="str">
        <x:v>Text-in-General</x:v>
      </x:c>
      <x:c r="E11" s="19" t="n">
        <x:f>SUMIFS('Per Item'!J2:J42,'Per Item'!B2:B42,C11)</x:f>
        <x:v>4</x:v>
      </x:c>
      <x:c r="F11" s="19" t="n">
        <x:f>COUNTIF('Per Item'!B2:B42,C11)</x:f>
        <x:v>9</x:v>
      </x:c>
      <x:c r="G11" s="20" t="n">
        <x:f>IFERROR(E11/F11,0)</x:f>
        <x:v>0.4444444444444444</x:v>
      </x:c>
    </x:row>
    <x:row r="12">
      <x:c r="A12" t="str">
        <x:v>gt_mask_out</x:v>
      </x:c>
      <x:c r="B12" t="str">
        <x:v>GT Mask-Out</x:v>
      </x:c>
      <x:c r="C12" t="n">
        <x:v>3</x:v>
      </x:c>
      <x:c r="D12" t="str">
        <x:v>Number-in-Chart</x:v>
      </x:c>
      <x:c r="E12" s="19" t="n">
        <x:f>SUMIFS('Per Item'!J2:J42,'Per Item'!B2:B42,C12)</x:f>
        <x:v>2</x:v>
      </x:c>
      <x:c r="F12" s="19" t="n">
        <x:f>COUNTIF('Per Item'!B2:B42,C12)</x:f>
        <x:v>11</x:v>
      </x:c>
      <x:c r="G12" s="20" t="n">
        <x:f>IFERROR(E12/F12,0)</x:f>
        <x:v>0.18181818181818182</x:v>
      </x:c>
    </x:row>
    <x:row r="13">
      <x:c r="A13" t="str">
        <x:v>gt_mask_out</x:v>
      </x:c>
      <x:c r="B13" t="str">
        <x:v>GT Mask-Out</x:v>
      </x:c>
      <x:c r="C13" t="n">
        <x:v>4</x:v>
      </x:c>
      <x:c r="D13" t="str">
        <x:v>Number-in-General</x:v>
      </x:c>
      <x:c r="E13" s="19" t="n">
        <x:f>SUMIFS('Per Item'!J2:J42,'Per Item'!B2:B42,C13)</x:f>
        <x:v>2</x:v>
      </x:c>
      <x:c r="F13" s="19" t="n">
        <x:f>COUNTIF('Per Item'!B2:B42,C13)</x:f>
        <x:v>5</x:v>
      </x:c>
      <x:c r="G13" s="20" t="n">
        <x:f>IFERROR(E13/F13,0)</x:f>
        <x:v>0.4</x:v>
      </x:c>
    </x:row>
    <x:row r="14">
      <x:c r="A14" t="str">
        <x:v>random_mask_in_1</x:v>
      </x:c>
      <x:c r="B14" t="str">
        <x:v>Random Mask-In (seed 20260901)</x:v>
      </x:c>
      <x:c r="C14" t="n">
        <x:v>1</x:v>
      </x:c>
      <x:c r="D14" t="str">
        <x:v>Text-in-Chart</x:v>
      </x:c>
      <x:c r="E14" s="19" t="n">
        <x:f>SUMIFS('Per Item'!M2:M42,'Per Item'!B2:B42,C14)</x:f>
        <x:v>1</x:v>
      </x:c>
      <x:c r="F14" s="19" t="n">
        <x:f>COUNTIF('Per Item'!B2:B42,C14)</x:f>
        <x:v>16</x:v>
      </x:c>
      <x:c r="G14" s="20" t="n">
        <x:f>IFERROR(E14/F14,0)</x:f>
        <x:v>0.0625</x:v>
      </x:c>
    </x:row>
    <x:row r="15">
      <x:c r="A15" t="str">
        <x:v>random_mask_in_1</x:v>
      </x:c>
      <x:c r="B15" t="str">
        <x:v>Random Mask-In (seed 20260901)</x:v>
      </x:c>
      <x:c r="C15" t="n">
        <x:v>2</x:v>
      </x:c>
      <x:c r="D15" t="str">
        <x:v>Text-in-General</x:v>
      </x:c>
      <x:c r="E15" s="19" t="n">
        <x:f>SUMIFS('Per Item'!M2:M42,'Per Item'!B2:B42,C15)</x:f>
        <x:v>4</x:v>
      </x:c>
      <x:c r="F15" s="19" t="n">
        <x:f>COUNTIF('Per Item'!B2:B42,C15)</x:f>
        <x:v>9</x:v>
      </x:c>
      <x:c r="G15" s="20" t="n">
        <x:f>IFERROR(E15/F15,0)</x:f>
        <x:v>0.4444444444444444</x:v>
      </x:c>
    </x:row>
    <x:row r="16">
      <x:c r="A16" t="str">
        <x:v>random_mask_in_1</x:v>
      </x:c>
      <x:c r="B16" t="str">
        <x:v>Random Mask-In (seed 20260901)</x:v>
      </x:c>
      <x:c r="C16" t="n">
        <x:v>3</x:v>
      </x:c>
      <x:c r="D16" t="str">
        <x:v>Number-in-Chart</x:v>
      </x:c>
      <x:c r="E16" s="19" t="n">
        <x:f>SUMIFS('Per Item'!M2:M42,'Per Item'!B2:B42,C16)</x:f>
        <x:v>0</x:v>
      </x:c>
      <x:c r="F16" s="19" t="n">
        <x:f>COUNTIF('Per Item'!B2:B42,C16)</x:f>
        <x:v>11</x:v>
      </x:c>
      <x:c r="G16" s="20" t="n">
        <x:f>IFERROR(E16/F16,0)</x:f>
        <x:v>0</x:v>
      </x:c>
    </x:row>
    <x:row r="17">
      <x:c r="A17" t="str">
        <x:v>random_mask_in_1</x:v>
      </x:c>
      <x:c r="B17" t="str">
        <x:v>Random Mask-In (seed 20260901)</x:v>
      </x:c>
      <x:c r="C17" t="n">
        <x:v>4</x:v>
      </x:c>
      <x:c r="D17" t="str">
        <x:v>Number-in-General</x:v>
      </x:c>
      <x:c r="E17" s="19" t="n">
        <x:f>SUMIFS('Per Item'!M2:M42,'Per Item'!B2:B42,C17)</x:f>
        <x:v>0</x:v>
      </x:c>
      <x:c r="F17" s="19" t="n">
        <x:f>COUNTIF('Per Item'!B2:B42,C17)</x:f>
        <x:v>5</x:v>
      </x:c>
      <x:c r="G17" s="20" t="n">
        <x:f>IFERROR(E17/F17,0)</x:f>
        <x:v>0</x:v>
      </x:c>
    </x:row>
    <x:row r="18">
      <x:c r="A18" t="str">
        <x:v>random_mask_in_2</x:v>
      </x:c>
      <x:c r="B18" t="str">
        <x:v>Random Mask-In (seed 20260902)</x:v>
      </x:c>
      <x:c r="C18" t="n">
        <x:v>1</x:v>
      </x:c>
      <x:c r="D18" t="str">
        <x:v>Text-in-Chart</x:v>
      </x:c>
      <x:c r="E18" s="19" t="n">
        <x:f>SUMIFS('Per Item'!P2:P42,'Per Item'!B2:B42,C18)</x:f>
        <x:v>0</x:v>
      </x:c>
      <x:c r="F18" s="19" t="n">
        <x:f>COUNTIF('Per Item'!B2:B42,C18)</x:f>
        <x:v>16</x:v>
      </x:c>
      <x:c r="G18" s="20" t="n">
        <x:f>IFERROR(E18/F18,0)</x:f>
        <x:v>0</x:v>
      </x:c>
    </x:row>
    <x:row r="19">
      <x:c r="A19" t="str">
        <x:v>random_mask_in_2</x:v>
      </x:c>
      <x:c r="B19" t="str">
        <x:v>Random Mask-In (seed 20260902)</x:v>
      </x:c>
      <x:c r="C19" t="n">
        <x:v>2</x:v>
      </x:c>
      <x:c r="D19" t="str">
        <x:v>Text-in-General</x:v>
      </x:c>
      <x:c r="E19" s="19" t="n">
        <x:f>SUMIFS('Per Item'!P2:P42,'Per Item'!B2:B42,C19)</x:f>
        <x:v>0</x:v>
      </x:c>
      <x:c r="F19" s="19" t="n">
        <x:f>COUNTIF('Per Item'!B2:B42,C19)</x:f>
        <x:v>9</x:v>
      </x:c>
      <x:c r="G19" s="20" t="n">
        <x:f>IFERROR(E19/F19,0)</x:f>
        <x:v>0</x:v>
      </x:c>
    </x:row>
    <x:row r="20">
      <x:c r="A20" t="str">
        <x:v>random_mask_in_2</x:v>
      </x:c>
      <x:c r="B20" t="str">
        <x:v>Random Mask-In (seed 20260902)</x:v>
      </x:c>
      <x:c r="C20" t="n">
        <x:v>3</x:v>
      </x:c>
      <x:c r="D20" t="str">
        <x:v>Number-in-Chart</x:v>
      </x:c>
      <x:c r="E20" s="19" t="n">
        <x:f>SUMIFS('Per Item'!P2:P42,'Per Item'!B2:B42,C20)</x:f>
        <x:v>1</x:v>
      </x:c>
      <x:c r="F20" s="19" t="n">
        <x:f>COUNTIF('Per Item'!B2:B42,C20)</x:f>
        <x:v>11</x:v>
      </x:c>
      <x:c r="G20" s="20" t="n">
        <x:f>IFERROR(E20/F20,0)</x:f>
        <x:v>0.09090909090909091</x:v>
      </x:c>
    </x:row>
    <x:row r="21">
      <x:c r="A21" t="str">
        <x:v>random_mask_in_2</x:v>
      </x:c>
      <x:c r="B21" t="str">
        <x:v>Random Mask-In (seed 20260902)</x:v>
      </x:c>
      <x:c r="C21" t="n">
        <x:v>4</x:v>
      </x:c>
      <x:c r="D21" t="str">
        <x:v>Number-in-General</x:v>
      </x:c>
      <x:c r="E21" s="19" t="n">
        <x:f>SUMIFS('Per Item'!P2:P42,'Per Item'!B2:B42,C21)</x:f>
        <x:v>0</x:v>
      </x:c>
      <x:c r="F21" s="19" t="n">
        <x:f>COUNTIF('Per Item'!B2:B42,C21)</x:f>
        <x:v>5</x:v>
      </x:c>
      <x:c r="G21" s="20" t="n">
        <x:f>IFERROR(E21/F21,0)</x:f>
        <x:v>0</x:v>
      </x:c>
    </x:row>
    <x:row r="22">
      <x:c r="A22" t="str">
        <x:v>random_mask_in_3</x:v>
      </x:c>
      <x:c r="B22" t="str">
        <x:v>Random Mask-In (seed 20260903)</x:v>
      </x:c>
      <x:c r="C22" t="n">
        <x:v>1</x:v>
      </x:c>
      <x:c r="D22" t="str">
        <x:v>Text-in-Chart</x:v>
      </x:c>
      <x:c r="E22" s="19" t="n">
        <x:f>SUMIFS('Per Item'!S2:S42,'Per Item'!B2:B42,C22)</x:f>
        <x:v>0</x:v>
      </x:c>
      <x:c r="F22" s="19" t="n">
        <x:f>COUNTIF('Per Item'!B2:B42,C22)</x:f>
        <x:v>16</x:v>
      </x:c>
      <x:c r="G22" s="20" t="n">
        <x:f>IFERROR(E22/F22,0)</x:f>
        <x:v>0</x:v>
      </x:c>
    </x:row>
    <x:row r="23">
      <x:c r="A23" t="str">
        <x:v>random_mask_in_3</x:v>
      </x:c>
      <x:c r="B23" t="str">
        <x:v>Random Mask-In (seed 20260903)</x:v>
      </x:c>
      <x:c r="C23" t="n">
        <x:v>2</x:v>
      </x:c>
      <x:c r="D23" t="str">
        <x:v>Text-in-General</x:v>
      </x:c>
      <x:c r="E23" s="19" t="n">
        <x:f>SUMIFS('Per Item'!S2:S42,'Per Item'!B2:B42,C23)</x:f>
        <x:v>1</x:v>
      </x:c>
      <x:c r="F23" s="19" t="n">
        <x:f>COUNTIF('Per Item'!B2:B42,C23)</x:f>
        <x:v>9</x:v>
      </x:c>
      <x:c r="G23" s="20" t="n">
        <x:f>IFERROR(E23/F23,0)</x:f>
        <x:v>0.1111111111111111</x:v>
      </x:c>
    </x:row>
    <x:row r="24">
      <x:c r="A24" t="str">
        <x:v>random_mask_in_3</x:v>
      </x:c>
      <x:c r="B24" t="str">
        <x:v>Random Mask-In (seed 20260903)</x:v>
      </x:c>
      <x:c r="C24" t="n">
        <x:v>3</x:v>
      </x:c>
      <x:c r="D24" t="str">
        <x:v>Number-in-Chart</x:v>
      </x:c>
      <x:c r="E24" s="19" t="n">
        <x:f>SUMIFS('Per Item'!S2:S42,'Per Item'!B2:B42,C24)</x:f>
        <x:v>0</x:v>
      </x:c>
      <x:c r="F24" s="19" t="n">
        <x:f>COUNTIF('Per Item'!B2:B42,C24)</x:f>
        <x:v>11</x:v>
      </x:c>
      <x:c r="G24" s="20" t="n">
        <x:f>IFERROR(E24/F24,0)</x:f>
        <x:v>0</x:v>
      </x:c>
    </x:row>
    <x:row r="25">
      <x:c r="A25" t="str">
        <x:v>random_mask_in_3</x:v>
      </x:c>
      <x:c r="B25" t="str">
        <x:v>Random Mask-In (seed 20260903)</x:v>
      </x:c>
      <x:c r="C25" t="n">
        <x:v>4</x:v>
      </x:c>
      <x:c r="D25" t="str">
        <x:v>Number-in-General</x:v>
      </x:c>
      <x:c r="E25" s="19" t="n">
        <x:f>SUMIFS('Per Item'!S2:S42,'Per Item'!B2:B42,C25)</x:f>
        <x:v>0</x:v>
      </x:c>
      <x:c r="F25" s="19" t="n">
        <x:f>COUNTIF('Per Item'!B2:B42,C25)</x:f>
        <x:v>5</x:v>
      </x:c>
      <x:c r="G25" s="20" t="n">
        <x:f>IFERROR(E25/F25,0)</x:f>
        <x:v>0</x:v>
      </x:c>
    </x:row>
    <x:row r="26">
      <x:c r="A26" t="str">
        <x:v>gt_roi</x:v>
      </x:c>
      <x:c r="B26" t="str">
        <x:v>GT ROI</x:v>
      </x:c>
      <x:c r="C26" t="n">
        <x:v>1</x:v>
      </x:c>
      <x:c r="D26" t="str">
        <x:v>Text-in-Chart</x:v>
      </x:c>
      <x:c r="E26" s="19" t="n">
        <x:f>SUMIFS('Per Item'!V2:V42,'Per Item'!B2:B42,C26)</x:f>
        <x:v>11</x:v>
      </x:c>
      <x:c r="F26" s="19" t="n">
        <x:f>COUNTIF('Per Item'!B2:B42,C26)</x:f>
        <x:v>16</x:v>
      </x:c>
      <x:c r="G26" s="20" t="n">
        <x:f>IFERROR(E26/F26,0)</x:f>
        <x:v>0.6875</x:v>
      </x:c>
    </x:row>
    <x:row r="27">
      <x:c r="A27" t="str">
        <x:v>gt_roi</x:v>
      </x:c>
      <x:c r="B27" t="str">
        <x:v>GT ROI</x:v>
      </x:c>
      <x:c r="C27" t="n">
        <x:v>2</x:v>
      </x:c>
      <x:c r="D27" t="str">
        <x:v>Text-in-General</x:v>
      </x:c>
      <x:c r="E27" s="19" t="n">
        <x:f>SUMIFS('Per Item'!V2:V42,'Per Item'!B2:B42,C27)</x:f>
        <x:v>6</x:v>
      </x:c>
      <x:c r="F27" s="19" t="n">
        <x:f>COUNTIF('Per Item'!B2:B42,C27)</x:f>
        <x:v>9</x:v>
      </x:c>
      <x:c r="G27" s="20" t="n">
        <x:f>IFERROR(E27/F27,0)</x:f>
        <x:v>0.6666666666666666</x:v>
      </x:c>
    </x:row>
    <x:row r="28">
      <x:c r="A28" t="str">
        <x:v>gt_roi</x:v>
      </x:c>
      <x:c r="B28" t="str">
        <x:v>GT ROI</x:v>
      </x:c>
      <x:c r="C28" t="n">
        <x:v>3</x:v>
      </x:c>
      <x:c r="D28" t="str">
        <x:v>Number-in-Chart</x:v>
      </x:c>
      <x:c r="E28" s="19" t="n">
        <x:f>SUMIFS('Per Item'!V2:V42,'Per Item'!B2:B42,C28)</x:f>
        <x:v>6</x:v>
      </x:c>
      <x:c r="F28" s="19" t="n">
        <x:f>COUNTIF('Per Item'!B2:B42,C28)</x:f>
        <x:v>11</x:v>
      </x:c>
      <x:c r="G28" s="20" t="n">
        <x:f>IFERROR(E28/F28,0)</x:f>
        <x:v>0.5454545454545454</x:v>
      </x:c>
    </x:row>
    <x:row r="29">
      <x:c r="A29" t="str">
        <x:v>gt_roi</x:v>
      </x:c>
      <x:c r="B29" t="str">
        <x:v>GT ROI</x:v>
      </x:c>
      <x:c r="C29" t="n">
        <x:v>4</x:v>
      </x:c>
      <x:c r="D29" t="str">
        <x:v>Number-in-General</x:v>
      </x:c>
      <x:c r="E29" s="19" t="n">
        <x:f>SUMIFS('Per Item'!V2:V42,'Per Item'!B2:B42,C29)</x:f>
        <x:v>2</x:v>
      </x:c>
      <x:c r="F29" s="19" t="n">
        <x:f>COUNTIF('Per Item'!B2:B42,C29)</x:f>
        <x:v>5</x:v>
      </x:c>
      <x:c r="G29" s="20" t="n">
        <x:f>IFERROR(E29/F29,0)</x:f>
        <x:v>0.4</x:v>
      </x:c>
    </x:row>
    <x:row r="30">
      <x:c r="A30" t="str">
        <x:v>random_mask_in_mean</x:v>
      </x:c>
      <x:c r="B30" t="str">
        <x:v>Random Mask-In (3-seed mean)</x:v>
      </x:c>
      <x:c r="C30" t="n">
        <x:v>1</x:v>
      </x:c>
      <x:c r="D30" t="str">
        <x:v>Text-in-Chart</x:v>
      </x:c>
      <x:c r="E30" s="19" t="n">
        <x:f>AVERAGE(E14,E18,E22)</x:f>
        <x:v>0.3333333333333333</x:v>
      </x:c>
      <x:c r="F30" s="19" t="n">
        <x:f>F14</x:f>
        <x:v>16</x:v>
      </x:c>
      <x:c r="G30" s="20" t="n">
        <x:f>IFERROR(E30/F30,0)</x:f>
        <x:v>0.020833333333333332</x:v>
      </x:c>
    </x:row>
    <x:row r="31">
      <x:c r="A31" t="str">
        <x:v>random_mask_in_mean</x:v>
      </x:c>
      <x:c r="B31" t="str">
        <x:v>Random Mask-In (3-seed mean)</x:v>
      </x:c>
      <x:c r="C31" t="n">
        <x:v>2</x:v>
      </x:c>
      <x:c r="D31" t="str">
        <x:v>Text-in-General</x:v>
      </x:c>
      <x:c r="E31" s="19" t="n">
        <x:f>AVERAGE(E15,E19,E23)</x:f>
        <x:v>1.6666666666666667</x:v>
      </x:c>
      <x:c r="F31" s="19" t="n">
        <x:f>F15</x:f>
        <x:v>9</x:v>
      </x:c>
      <x:c r="G31" s="20" t="n">
        <x:f>IFERROR(E31/F31,0)</x:f>
        <x:v>0.1851851851851852</x:v>
      </x:c>
    </x:row>
    <x:row r="32">
      <x:c r="A32" t="str">
        <x:v>random_mask_in_mean</x:v>
      </x:c>
      <x:c r="B32" t="str">
        <x:v>Random Mask-In (3-seed mean)</x:v>
      </x:c>
      <x:c r="C32" t="n">
        <x:v>3</x:v>
      </x:c>
      <x:c r="D32" t="str">
        <x:v>Number-in-Chart</x:v>
      </x:c>
      <x:c r="E32" s="19" t="n">
        <x:f>AVERAGE(E16,E20,E24)</x:f>
        <x:v>0.3333333333333333</x:v>
      </x:c>
      <x:c r="F32" s="19" t="n">
        <x:f>F16</x:f>
        <x:v>11</x:v>
      </x:c>
      <x:c r="G32" s="20" t="n">
        <x:f>IFERROR(E32/F32,0)</x:f>
        <x:v>0.0303030303030303</x:v>
      </x:c>
    </x:row>
    <x:row r="33">
      <x:c r="A33" t="str">
        <x:v>random_mask_in_mean</x:v>
      </x:c>
      <x:c r="B33" t="str">
        <x:v>Random Mask-In (3-seed mean)</x:v>
      </x:c>
      <x:c r="C33" t="n">
        <x:v>4</x:v>
      </x:c>
      <x:c r="D33" t="str">
        <x:v>Number-in-General</x:v>
      </x:c>
      <x:c r="E33" s="19" t="n">
        <x:f>AVERAGE(E17,E21,E25)</x:f>
        <x:v>0</x:v>
      </x:c>
      <x:c r="F33" s="19" t="n">
        <x:f>F17</x:f>
        <x:v>5</x:v>
      </x:c>
      <x:c r="G33" s="20" t="n">
        <x:f>IFERROR(E33/F33,0)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4b6727939a54ec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13" hidden="0" customWidth="1"/>
    <x:col min="4" max="4" width="62" hidden="0" customWidth="1"/>
    <x:col min="5" max="5" width="62" hidden="0" customWidth="1"/>
    <x:col min="6" max="6" width="66" hidden="0" customWidth="1"/>
    <x:col min="7" max="7" width="24" hidden="0" customWidth="1"/>
    <x:col min="8" max="8" width="18" hidden="0" customWidth="1"/>
    <x:col min="9" max="9" width="66" hidden="0" customWidth="1"/>
    <x:col min="10" max="10" width="12" hidden="0" customWidth="1"/>
  </x:cols>
  <x:sheetData>
    <x:row r="1" ht="30" customHeight="1">
      <x:c r="A1" s="5" t="str">
        <x:v>Condition ID</x:v>
      </x:c>
      <x:c r="B1" s="5" t="str">
        <x:v>Condition</x:v>
      </x:c>
      <x:c r="C1" s="5" t="str">
        <x:v>Seed</x:v>
      </x:c>
      <x:c r="D1" s="5" t="str">
        <x:v>Run Directory</x:v>
      </x:c>
      <x:c r="E1" s="5" t="str">
        <x:v>Judge Workbook</x:v>
      </x:c>
      <x:c r="F1" s="5" t="str">
        <x:v>Workbook SHA-256</x:v>
      </x:c>
      <x:c r="G1" s="5" t="str">
        <x:v>Frozen At</x:v>
      </x:c>
      <x:c r="H1" s="5" t="str">
        <x:v>Frozen File Count</x:v>
      </x:c>
      <x:c r="I1" s="5" t="str">
        <x:v>Manifest SHA-256</x:v>
      </x:c>
      <x:c r="J1" s="5" t="str">
        <x:v>Verified</x:v>
      </x:c>
    </x:row>
    <x:row r="2" ht="48" customHeight="1">
      <x:c r="A2" t="str">
        <x:v>full_image</x:v>
      </x:c>
      <x:c r="B2" t="str">
        <x:v>Full Image</x:v>
      </x:c>
      <x:c r="C2" t="str"/>
      <x:c r="D2" t="str">
        <x:v>T:\PyCharmProject\OCR-Reasoning\OCR-Reasoning-main\test_case\RIG_Charxiv\evidence_conditions\full-image\Qwen3.5-9B__evidence-conditions-v1</x:v>
      </x:c>
      <x:c r="E2" t="str">
        <x:v>T:\PyCharmProject\OCR-Reasoning\OCR-Reasoning-main\test_case\RIG_Charxiv\evidence_conditions\full-image\Qwen3.5-9B__evidence-conditions-v1\predictions_qwen-plus.xlsx</x:v>
      </x:c>
      <x:c r="F2" t="str">
        <x:v>4122cef99948782a6a90e5564f887c51f9cf23f98e2fcc951278c361115af74e</x:v>
      </x:c>
      <x:c r="G2" s="29" t="n">
        <x:v>46267.07597103009</x:v>
      </x:c>
      <x:c r="H2" t="n">
        <x:v>90</x:v>
      </x:c>
      <x:c r="I2" t="str">
        <x:v>e658c8156ce7b369fc8603b94ccf9d4197e07fdd84c810141786386872f9a18e</x:v>
      </x:c>
      <x:c r="J2" s="28" t="b">
        <x:v>1</x:v>
      </x:c>
    </x:row>
    <x:row r="3" ht="48" customHeight="1">
      <x:c r="A3" t="str">
        <x:v>gt_mask_in</x:v>
      </x:c>
      <x:c r="B3" t="str">
        <x:v>GT Mask-In</x:v>
      </x:c>
      <x:c r="C3" t="str"/>
      <x:c r="D3" t="str">
        <x:v>T:\PyCharmProject\OCR-Reasoning\OCR-Reasoning-main\test_case\RIG_Charxiv\gt_mask_in\Qwen3.5-9B__gt-mask-in-v1</x:v>
      </x:c>
      <x:c r="E3" t="str">
        <x:v>T:\PyCharmProject\OCR-Reasoning\OCR-Reasoning-main\test_case\RIG_Charxiv\gt_mask_in\Qwen3.5-9B__gt-mask-in-v1\predictions_for_judge_qwen-plus.xlsx</x:v>
      </x:c>
      <x:c r="F3" t="str">
        <x:v>4d4b48a3162be931cbca21acac3208ea36320b727db59935dee7f989f8d7656c</x:v>
      </x:c>
      <x:c r="G3" s="29" t="n">
        <x:v>46266.37850461806</x:v>
      </x:c>
      <x:c r="H3" t="n">
        <x:v>95</x:v>
      </x:c>
      <x:c r="I3" t="str">
        <x:v>47ce87341ca09848b728c6aae4d6d145b0643b82c54ecc3c676e36cd56025200</x:v>
      </x:c>
      <x:c r="J3" s="28" t="b">
        <x:v>1</x:v>
      </x:c>
    </x:row>
    <x:row r="4" ht="48" customHeight="1">
      <x:c r="A4" t="str">
        <x:v>gt_mask_out</x:v>
      </x:c>
      <x:c r="B4" t="str">
        <x:v>GT Mask-Out</x:v>
      </x:c>
      <x:c r="C4" t="str"/>
      <x:c r="D4" t="str">
        <x:v>T:\PyCharmProject\OCR-Reasoning\OCR-Reasoning-main\test_case\RIG_Charxiv\evidence_conditions\gt-mask-out\Qwen3.5-9B__evidence-conditions-v1</x:v>
      </x:c>
      <x:c r="E4" t="str">
        <x:v>T:\PyCharmProject\OCR-Reasoning\OCR-Reasoning-main\test_case\RIG_Charxiv\evidence_conditions\gt-mask-out\Qwen3.5-9B__evidence-conditions-v1\predictions_qwen-plus.xlsx</x:v>
      </x:c>
      <x:c r="F4" t="str">
        <x:v>5e45ca2d1f3ff22ccd6f3a66ea85b6ca985c244a6a1aa8f7086d1c3e6ac6b4ec</x:v>
      </x:c>
      <x:c r="G4" s="29" t="n">
        <x:v>46267.075990798614</x:v>
      </x:c>
      <x:c r="H4" t="n">
        <x:v>90</x:v>
      </x:c>
      <x:c r="I4" t="str">
        <x:v>a9bd6516beeb64b8b9bb4dd3249034434a6619fa672cfa31f70a9372a74ed529</x:v>
      </x:c>
      <x:c r="J4" s="28" t="b">
        <x:v>1</x:v>
      </x:c>
    </x:row>
    <x:row r="5" ht="48" customHeight="1">
      <x:c r="A5" t="str">
        <x:v>random_mask_in_1</x:v>
      </x:c>
      <x:c r="B5" t="str">
        <x:v>Random Mask-In (seed 20260901)</x:v>
      </x:c>
      <x:c r="C5" t="n">
        <x:v>20260901</x:v>
      </x:c>
      <x:c r="D5" t="str">
        <x:v>T:\PyCharmProject\OCR-Reasoning\OCR-Reasoning-main\test_case\RIG_Charxiv\evidence_conditions\random-mask-in\Qwen3.5-9B__evidence-conditions-v1__seed-20260901</x:v>
      </x:c>
      <x:c r="E5" t="str">
        <x:v>T:\PyCharmProject\OCR-Reasoning\OCR-Reasoning-main\test_case\RIG_Charxiv\evidence_conditions\random-mask-in\Qwen3.5-9B__evidence-conditions-v1__seed-20260901\predictions_qwen-plus.xlsx</x:v>
      </x:c>
      <x:c r="F5" t="str">
        <x:v>a01c28bfd88c3429f6986d5d65d02b49c6f91c4c97a5cc1b296a9f6a0bb306bc</x:v>
      </x:c>
      <x:c r="G5" s="29" t="n">
        <x:v>46267.07601143519</x:v>
      </x:c>
      <x:c r="H5" t="n">
        <x:v>131</x:v>
      </x:c>
      <x:c r="I5" t="str">
        <x:v>924280dbd5b93746a802c4e4dd3646e0bc9deca6f72e875921c20efe01fec443</x:v>
      </x:c>
      <x:c r="J5" s="28" t="b">
        <x:v>1</x:v>
      </x:c>
    </x:row>
    <x:row r="6" ht="48" customHeight="1">
      <x:c r="A6" t="str">
        <x:v>random_mask_in_2</x:v>
      </x:c>
      <x:c r="B6" t="str">
        <x:v>Random Mask-In (seed 20260902)</x:v>
      </x:c>
      <x:c r="C6" t="n">
        <x:v>20260902</x:v>
      </x:c>
      <x:c r="D6" t="str">
        <x:v>T:\PyCharmProject\OCR-Reasoning\OCR-Reasoning-main\test_case\RIG_Charxiv\evidence_conditions\random-mask-in\Qwen3.5-9B__evidence-conditions-v1__seed-20260902</x:v>
      </x:c>
      <x:c r="E6" t="str">
        <x:v>T:\PyCharmProject\OCR-Reasoning\OCR-Reasoning-main\test_case\RIG_Charxiv\evidence_conditions\random-mask-in\Qwen3.5-9B__evidence-conditions-v1__seed-20260902\predictions_qwen-plus.xlsx</x:v>
      </x:c>
      <x:c r="F6" t="str">
        <x:v>293c81219c99d8b1ec1fef41898902f0b5760d27694a6210528aaedbe6764c1b</x:v>
      </x:c>
      <x:c r="G6" s="29" t="n">
        <x:v>46267.076031666664</x:v>
      </x:c>
      <x:c r="H6" t="n">
        <x:v>131</x:v>
      </x:c>
      <x:c r="I6" t="str">
        <x:v>62ce4637af855914d565e0c64b0fc12f35111c655cf919d95da5eb14c8c5be91</x:v>
      </x:c>
      <x:c r="J6" s="28" t="b">
        <x:v>1</x:v>
      </x:c>
    </x:row>
    <x:row r="7" ht="48" customHeight="1">
      <x:c r="A7" t="str">
        <x:v>random_mask_in_3</x:v>
      </x:c>
      <x:c r="B7" t="str">
        <x:v>Random Mask-In (seed 20260903)</x:v>
      </x:c>
      <x:c r="C7" t="n">
        <x:v>20260903</x:v>
      </x:c>
      <x:c r="D7" t="str">
        <x:v>T:\PyCharmProject\OCR-Reasoning\OCR-Reasoning-main\test_case\RIG_Charxiv\evidence_conditions\random-mask-in\Qwen3.5-9B__evidence-conditions-v1__seed-20260903</x:v>
      </x:c>
      <x:c r="E7" t="str">
        <x:v>T:\PyCharmProject\OCR-Reasoning\OCR-Reasoning-main\test_case\RIG_Charxiv\evidence_conditions\random-mask-in\Qwen3.5-9B__evidence-conditions-v1__seed-20260903\predictions_qwen-plus.xlsx</x:v>
      </x:c>
      <x:c r="F7" t="str">
        <x:v>0f9c8e3d5a05d07f6ecd744a05e3de9a07a729cb225518e46bb37ef9e85cc489</x:v>
      </x:c>
      <x:c r="G7" s="29" t="n">
        <x:v>46267.076051875</x:v>
      </x:c>
      <x:c r="H7" t="n">
        <x:v>131</x:v>
      </x:c>
      <x:c r="I7" t="str">
        <x:v>48a26a596a10c901ad58ad82a5d9ebc1fd33c58d5037cafb6b0e1498b2f93ac7</x:v>
      </x:c>
      <x:c r="J7" s="28" t="b">
        <x:v>1</x:v>
      </x:c>
    </x:row>
    <x:row r="8" ht="48" customHeight="1">
      <x:c r="A8" t="str">
        <x:v>gt_roi</x:v>
      </x:c>
      <x:c r="B8" t="str">
        <x:v>GT ROI</x:v>
      </x:c>
      <x:c r="C8" t="str"/>
      <x:c r="D8" t="str">
        <x:v>T:\PyCharmProject\OCR-Reasoning\OCR-Reasoning-main\test_case\RIG_Charxiv\evidence_conditions\gt-roi\Qwen3.5-9B__evidence-conditions-v1</x:v>
      </x:c>
      <x:c r="E8" t="str">
        <x:v>T:\PyCharmProject\OCR-Reasoning\OCR-Reasoning-main\test_case\RIG_Charxiv\evidence_conditions\gt-roi\Qwen3.5-9B__evidence-conditions-v1\predictions_qwen-plus.xlsx</x:v>
      </x:c>
      <x:c r="F8" t="str">
        <x:v>14f8585b4b030974ad9aa79a0d4191f23fa73c85db4236bc7ab8715a9a50569e</x:v>
      </x:c>
      <x:c r="G8" s="29" t="n">
        <x:v>46267.076073206015</x:v>
      </x:c>
      <x:c r="H8" t="n">
        <x:v>393</x:v>
      </x:c>
      <x:c r="I8" t="str">
        <x:v>861838d1cec25cfc9d460f0aa9628bd92450867b4c4783fac15c5ac8126a70b6</x:v>
      </x:c>
      <x:c r="J8" s="28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2878434db4584a92"/>
  </x:tableParts>
</x:worksheet>
</file>